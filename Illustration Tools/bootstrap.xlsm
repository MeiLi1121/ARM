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7290" windowWidth="20580" windowHeight="7335" tabRatio="691"/>
  </bookViews>
  <sheets>
    <sheet name="bootstrap" sheetId="43" r:id="rId1"/>
  </sheets>
  <functionGroups builtInGroupCount="17"/>
  <externalReferences>
    <externalReference r:id="rId2"/>
    <externalReference r:id="rId3"/>
  </externalReferences>
  <definedNames>
    <definedName name="blackscholes133">#REF!</definedName>
    <definedName name="blackscholes157">#REF!</definedName>
    <definedName name="comprehensive_data">[1]COMP01!$A$6:$P$513</definedName>
    <definedName name="current_Date">#REF!</definedName>
    <definedName name="DAP_NAV">#REF!</definedName>
    <definedName name="DAP_Proj_NAV">#REF!</definedName>
    <definedName name="date">#REF!</definedName>
    <definedName name="egarch">#REF!</definedName>
    <definedName name="egarchparam">#REF!</definedName>
    <definedName name="filepath">#REF!</definedName>
    <definedName name="Financials__AA_Beta">'[2]Key Data'!$C$8</definedName>
    <definedName name="Financials_A_Alpha">'[2]Key Data'!$D$9</definedName>
    <definedName name="Financials_A_Beta">'[2]Key Data'!$C$9</definedName>
    <definedName name="Financials_AA_Alpha">'[2]Key Data'!$D$8</definedName>
    <definedName name="future_dates_start">#REF!</definedName>
    <definedName name="future_timesteps">#REF!</definedName>
    <definedName name="heston133">#REF!</definedName>
    <definedName name="heston157">#REF!</definedName>
    <definedName name="historicalfile">#REF!</definedName>
    <definedName name="historicalfile_rows">#REF!</definedName>
    <definedName name="hullwhite">#REF!</definedName>
    <definedName name="Industrials_A_Alpha">'[2]Key Data'!$D$10</definedName>
    <definedName name="Industrials_A_Beta">'[2]Key Data'!$C$10</definedName>
    <definedName name="Industrials_BBB_Alpha">'[2]Key Data'!$D$11</definedName>
    <definedName name="Industrials_BBB_Beta">'[2]Key Data'!$C$11</definedName>
    <definedName name="IV_12M_Alpha">'[2]Key Data'!$D$6</definedName>
    <definedName name="IV_12M_Beta">'[2]Key Data'!$C$6</definedName>
    <definedName name="IV_12M_Level">'[2]Key Data'!$E$6</definedName>
    <definedName name="IV_1M_Alpha">'[2]Key Data'!$D$5</definedName>
    <definedName name="IV_1M_Beta">'[2]Key Data'!$C$5</definedName>
    <definedName name="IV_1M_Level">'[2]Key Data'!$E$5</definedName>
    <definedName name="IV_24M_Alpha">'[2]Key Data'!$D$7</definedName>
    <definedName name="IV_24M_Beta">'[2]Key Data'!$C$7</definedName>
    <definedName name="IV_24M_Level">'[2]Key Data'!$E$7</definedName>
    <definedName name="maxfiles">#REF!</definedName>
    <definedName name="ML_Corp_AA_Alpha">'[2]Key Data'!$D$12</definedName>
    <definedName name="ML_Corp_AA_Beta">'[2]Key Data'!$C$12</definedName>
    <definedName name="nav_up_to_date">#REF!</definedName>
    <definedName name="npa">#REF!</definedName>
    <definedName name="path1">#REF!</definedName>
    <definedName name="quarter">#REF!</definedName>
    <definedName name="SBBIG_beta">#REF!</definedName>
    <definedName name="SBBIG_CURRENT_YIELD">'[2]Key Data'!$C$17</definedName>
    <definedName name="SBBIG_DURATION">'[2]Key Data'!$C$16</definedName>
    <definedName name="SBBIGshock">#REF!</definedName>
    <definedName name="scenario">#REF!</definedName>
    <definedName name="scenario_input">#REF!</definedName>
    <definedName name="solver_adj" localSheetId="0" hidden="1">bootstrap!$D$20</definedName>
    <definedName name="solver_itr" localSheetId="0" hidden="1">1000</definedName>
    <definedName name="solver_opt" localSheetId="0" hidden="1">bootstrap!$G$20</definedName>
    <definedName name="solver_pre" localSheetId="0" hidden="1">0.00000000005</definedName>
    <definedName name="solver_typ" localSheetId="0" hidden="1">3</definedName>
    <definedName name="solver_val" localSheetId="0" hidden="1">0</definedName>
    <definedName name="spia">#REF!</definedName>
    <definedName name="SPX_beta">#REF!</definedName>
    <definedName name="SPXhistorical">OFFSET(#REF!,0,0,#REF!,1)</definedName>
    <definedName name="SPXshock">#REF!</definedName>
    <definedName name="sva">#REF!</definedName>
    <definedName name="totalQuarter">#REF!</definedName>
    <definedName name="vol_all_funds_133">#REF!</definedName>
    <definedName name="vol_all_funds_157">#REF!</definedName>
  </definedNames>
  <calcPr calcId="145621"/>
</workbook>
</file>

<file path=xl/calcChain.xml><?xml version="1.0" encoding="utf-8"?>
<calcChain xmlns="http://schemas.openxmlformats.org/spreadsheetml/2006/main">
  <c r="L6" i="43" l="1"/>
  <c r="L7" i="43"/>
  <c r="L8" i="43"/>
  <c r="L9" i="43"/>
  <c r="L10" i="43"/>
  <c r="L11" i="43"/>
  <c r="L12" i="43"/>
  <c r="L13" i="43"/>
  <c r="L14" i="43"/>
  <c r="L15" i="43"/>
  <c r="L16" i="43"/>
  <c r="L17" i="43"/>
  <c r="L18" i="43"/>
  <c r="L19" i="43"/>
  <c r="L20" i="43"/>
  <c r="L21" i="43"/>
  <c r="L22" i="43"/>
  <c r="L23" i="43"/>
  <c r="L24" i="43"/>
  <c r="L25" i="43"/>
  <c r="L26" i="43"/>
  <c r="L27" i="43"/>
  <c r="L28" i="43"/>
  <c r="L29" i="43"/>
  <c r="L30" i="43"/>
  <c r="L31" i="43"/>
  <c r="L32" i="43"/>
  <c r="L33" i="43"/>
  <c r="L34" i="43"/>
  <c r="L35" i="43"/>
  <c r="L36" i="43"/>
  <c r="L37" i="43"/>
  <c r="L38" i="43"/>
  <c r="L39" i="43"/>
  <c r="L40" i="43"/>
  <c r="L41" i="43"/>
  <c r="L42" i="43"/>
  <c r="L43" i="43"/>
  <c r="L44" i="43"/>
  <c r="L45" i="43"/>
  <c r="L46" i="43"/>
  <c r="L47" i="43"/>
  <c r="L48" i="43"/>
  <c r="L49" i="43"/>
  <c r="L50" i="43"/>
  <c r="L51" i="43"/>
  <c r="L52" i="43"/>
  <c r="L53" i="43"/>
  <c r="L54" i="43"/>
  <c r="L55" i="43"/>
  <c r="L56" i="43"/>
  <c r="L57" i="43"/>
  <c r="L58" i="43"/>
  <c r="L59" i="43"/>
  <c r="L60" i="43"/>
  <c r="L61" i="43"/>
  <c r="L62" i="43"/>
  <c r="L63" i="43"/>
  <c r="L64" i="43"/>
  <c r="L5" i="43"/>
  <c r="F4" i="43"/>
  <c r="J5" i="43" s="1"/>
  <c r="J6" i="43" l="1"/>
  <c r="K5" i="43" l="1"/>
  <c r="K6" i="43"/>
  <c r="J7" i="43"/>
  <c r="J8" i="43" l="1"/>
  <c r="K7" i="43"/>
  <c r="K8" i="43" l="1"/>
  <c r="J9" i="43"/>
  <c r="J10" i="43" l="1"/>
  <c r="K9" i="43"/>
  <c r="K10" i="43" l="1"/>
  <c r="J11" i="43"/>
  <c r="J12" i="43" l="1"/>
  <c r="K11" i="43"/>
  <c r="K12" i="43" l="1"/>
  <c r="J13" i="43"/>
  <c r="J14" i="43" l="1"/>
  <c r="K13" i="43"/>
  <c r="K14" i="43" l="1"/>
  <c r="J15" i="43"/>
  <c r="J16" i="43" l="1"/>
  <c r="K15" i="43"/>
  <c r="K16" i="43" l="1"/>
  <c r="J17" i="43"/>
  <c r="K17" i="43" l="1"/>
  <c r="J18" i="43"/>
  <c r="K18" i="43" l="1"/>
  <c r="J19" i="43"/>
  <c r="J20" i="43" l="1"/>
  <c r="K19" i="43"/>
  <c r="K20" i="43" l="1"/>
  <c r="J21" i="43"/>
  <c r="J22" i="43" l="1"/>
  <c r="K21" i="43"/>
  <c r="K22" i="43" l="1"/>
  <c r="J23" i="43"/>
  <c r="J24" i="43" l="1"/>
  <c r="K23" i="43"/>
  <c r="K24" i="43" l="1"/>
  <c r="J25" i="43"/>
  <c r="J26" i="43" l="1"/>
  <c r="K25" i="43"/>
  <c r="K26" i="43" l="1"/>
  <c r="J27" i="43"/>
  <c r="J28" i="43" l="1"/>
  <c r="K27" i="43"/>
  <c r="J29" i="43" l="1"/>
  <c r="K28" i="43"/>
  <c r="J30" i="43" l="1"/>
  <c r="K29" i="43"/>
  <c r="J31" i="43" l="1"/>
  <c r="K30" i="43"/>
  <c r="J32" i="43" l="1"/>
  <c r="K31" i="43"/>
  <c r="J33" i="43" l="1"/>
  <c r="K32" i="43"/>
  <c r="J34" i="43" l="1"/>
  <c r="K33" i="43"/>
  <c r="J35" i="43" l="1"/>
  <c r="K34" i="43"/>
  <c r="G17" i="43"/>
  <c r="J36" i="43" l="1"/>
  <c r="K35" i="43"/>
  <c r="J37" i="43" l="1"/>
  <c r="K36" i="43"/>
  <c r="J38" i="43" l="1"/>
  <c r="K37" i="43"/>
  <c r="J39" i="43" l="1"/>
  <c r="K38" i="43"/>
  <c r="J40" i="43" l="1"/>
  <c r="K39" i="43"/>
  <c r="J41" i="43" l="1"/>
  <c r="K40" i="43"/>
  <c r="J42" i="43" l="1"/>
  <c r="K41" i="43"/>
  <c r="J43" i="43" l="1"/>
  <c r="K42" i="43"/>
  <c r="J44" i="43" l="1"/>
  <c r="K43" i="43"/>
  <c r="J45" i="43" l="1"/>
  <c r="K44" i="43"/>
  <c r="G18" i="43"/>
  <c r="J46" i="43" l="1"/>
  <c r="K45" i="43"/>
  <c r="J47" i="43" l="1"/>
  <c r="K46" i="43"/>
  <c r="J48" i="43" l="1"/>
  <c r="K47" i="43"/>
  <c r="J49" i="43" l="1"/>
  <c r="K48" i="43"/>
  <c r="J50" i="43" l="1"/>
  <c r="K49" i="43"/>
  <c r="J51" i="43" l="1"/>
  <c r="K50" i="43"/>
  <c r="J52" i="43" l="1"/>
  <c r="K51" i="43"/>
  <c r="J53" i="43" l="1"/>
  <c r="K52" i="43"/>
  <c r="J54" i="43" l="1"/>
  <c r="K53" i="43"/>
  <c r="J55" i="43" l="1"/>
  <c r="G19" i="43"/>
  <c r="K54" i="43"/>
  <c r="J56" i="43" l="1"/>
  <c r="K55" i="43"/>
  <c r="J57" i="43" l="1"/>
  <c r="K56" i="43"/>
  <c r="J58" i="43" l="1"/>
  <c r="K57" i="43"/>
  <c r="J59" i="43" l="1"/>
  <c r="K58" i="43"/>
  <c r="J60" i="43" l="1"/>
  <c r="K59" i="43"/>
  <c r="J61" i="43" l="1"/>
  <c r="K60" i="43"/>
  <c r="J62" i="43" l="1"/>
  <c r="K61" i="43"/>
  <c r="J63" i="43" l="1"/>
  <c r="K62" i="43"/>
  <c r="J64" i="43" l="1"/>
  <c r="K63" i="43"/>
  <c r="K64" i="43" l="1"/>
  <c r="G20" i="43"/>
</calcChain>
</file>

<file path=xl/sharedStrings.xml><?xml version="1.0" encoding="utf-8"?>
<sst xmlns="http://schemas.openxmlformats.org/spreadsheetml/2006/main" count="30" uniqueCount="29">
  <si>
    <t>Date</t>
  </si>
  <si>
    <t>USSWAP1</t>
  </si>
  <si>
    <t>USSWAP2</t>
  </si>
  <si>
    <t>USSWAP3</t>
  </si>
  <si>
    <t>USSWAP5</t>
  </si>
  <si>
    <t>USSWAP7</t>
  </si>
  <si>
    <t>USSWAP10</t>
  </si>
  <si>
    <t>USSWAP30</t>
  </si>
  <si>
    <t>USSWAP4</t>
  </si>
  <si>
    <t>USSWAP6</t>
  </si>
  <si>
    <t>USSWAP8</t>
  </si>
  <si>
    <t>USSWAP9</t>
  </si>
  <si>
    <t>USSWAP15</t>
  </si>
  <si>
    <t>USSWAP20</t>
  </si>
  <si>
    <t>USSWAP25</t>
  </si>
  <si>
    <t>Input</t>
  </si>
  <si>
    <t>Swap Rates</t>
  </si>
  <si>
    <t xml:space="preserve">Output </t>
  </si>
  <si>
    <t>Discount Factors</t>
  </si>
  <si>
    <t>Ticker</t>
  </si>
  <si>
    <t>Factor</t>
  </si>
  <si>
    <t>TermYrs</t>
  </si>
  <si>
    <t>Value</t>
  </si>
  <si>
    <t>Terms</t>
  </si>
  <si>
    <t>Forward Rate</t>
  </si>
  <si>
    <t>USSWAP11</t>
  </si>
  <si>
    <t>USSWAP12</t>
  </si>
  <si>
    <t>USSWAP6M</t>
  </si>
  <si>
    <t>Zero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</si>
</sst>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00"/>
  </numFmts>
  <fonts count="2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b/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8">
    <xf numFmtId="0" fontId="0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6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8" applyNumberFormat="0" applyFill="0" applyAlignment="0" applyProtection="0"/>
    <xf numFmtId="0" fontId="9" fillId="0" borderId="9" applyNumberFormat="0" applyFill="0" applyAlignment="0" applyProtection="0"/>
    <xf numFmtId="0" fontId="10" fillId="0" borderId="10" applyNumberFormat="0" applyFill="0" applyAlignment="0" applyProtection="0"/>
    <xf numFmtId="0" fontId="10" fillId="0" borderId="0" applyNumberFormat="0" applyFill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11" applyNumberFormat="0" applyAlignment="0" applyProtection="0"/>
    <xf numFmtId="0" fontId="14" fillId="6" borderId="12" applyNumberFormat="0" applyAlignment="0" applyProtection="0"/>
    <xf numFmtId="0" fontId="15" fillId="6" borderId="11" applyNumberFormat="0" applyAlignment="0" applyProtection="0"/>
    <xf numFmtId="0" fontId="16" fillId="0" borderId="13" applyNumberFormat="0" applyFill="0" applyAlignment="0" applyProtection="0"/>
    <xf numFmtId="0" fontId="17" fillId="7" borderId="14" applyNumberFormat="0" applyAlignment="0" applyProtection="0"/>
    <xf numFmtId="0" fontId="5" fillId="0" borderId="0" applyNumberFormat="0" applyFill="0" applyBorder="0" applyAlignment="0" applyProtection="0"/>
    <xf numFmtId="0" fontId="3" fillId="8" borderId="15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16" applyNumberFormat="0" applyFill="0" applyAlignment="0" applyProtection="0"/>
    <xf numFmtId="0" fontId="20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0" fillId="32" borderId="0" applyNumberFormat="0" applyBorder="0" applyAlignment="0" applyProtection="0"/>
    <xf numFmtId="0" fontId="21" fillId="0" borderId="0" applyNumberFormat="0" applyFill="0" applyBorder="0" applyProtection="0">
      <alignment horizontal="right"/>
    </xf>
    <xf numFmtId="0" fontId="1" fillId="0" borderId="0"/>
    <xf numFmtId="0" fontId="21" fillId="0" borderId="0" applyNumberFormat="0" applyFill="0" applyBorder="0" applyProtection="0">
      <alignment horizontal="right"/>
    </xf>
    <xf numFmtId="0" fontId="21" fillId="0" borderId="0" applyNumberFormat="0" applyFill="0" applyBorder="0" applyProtection="0">
      <alignment horizontal="right"/>
    </xf>
    <xf numFmtId="9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/>
    <xf numFmtId="0" fontId="0" fillId="0" borderId="1" xfId="0" applyBorder="1" applyAlignment="1">
      <alignment horizont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right"/>
    </xf>
    <xf numFmtId="0" fontId="19" fillId="0" borderId="7" xfId="0" applyFont="1" applyBorder="1" applyAlignment="1" applyProtection="1">
      <alignment horizontal="center"/>
    </xf>
    <xf numFmtId="0" fontId="19" fillId="0" borderId="6" xfId="0" applyFont="1" applyBorder="1" applyAlignment="1" applyProtection="1">
      <alignment horizontal="center"/>
    </xf>
    <xf numFmtId="0" fontId="19" fillId="0" borderId="17" xfId="0" applyFont="1" applyBorder="1" applyAlignment="1" applyProtection="1">
      <alignment horizontal="center"/>
    </xf>
    <xf numFmtId="0" fontId="19" fillId="0" borderId="0" xfId="0" applyFont="1" applyFill="1" applyBorder="1" applyAlignment="1" applyProtection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9" fontId="0" fillId="0" borderId="0" xfId="1" applyFont="1"/>
    <xf numFmtId="10" fontId="0" fillId="0" borderId="0" xfId="1" applyNumberFormat="1" applyFont="1"/>
  </cellXfs>
  <cellStyles count="58">
    <cellStyle name="20% - Accent1" xfId="26" builtinId="30" customBuiltin="1"/>
    <cellStyle name="20% - Accent2" xfId="30" builtinId="34" customBuiltin="1"/>
    <cellStyle name="20% - Accent3" xfId="34" builtinId="38" customBuiltin="1"/>
    <cellStyle name="20% - Accent4" xfId="38" builtinId="42" customBuiltin="1"/>
    <cellStyle name="20% - Accent5" xfId="42" builtinId="46" customBuiltin="1"/>
    <cellStyle name="20% - Accent6" xfId="46" builtinId="50" customBuiltin="1"/>
    <cellStyle name="40% - Accent1" xfId="27" builtinId="31" customBuiltin="1"/>
    <cellStyle name="40% - Accent2" xfId="31" builtinId="35" customBuiltin="1"/>
    <cellStyle name="40% - Accent3" xfId="35" builtinId="39" customBuiltin="1"/>
    <cellStyle name="40% - Accent4" xfId="39" builtinId="43" customBuiltin="1"/>
    <cellStyle name="40% - Accent5" xfId="43" builtinId="47" customBuiltin="1"/>
    <cellStyle name="40% - Accent6" xfId="47" builtinId="51" customBuiltin="1"/>
    <cellStyle name="60% - Accent1" xfId="28" builtinId="32" customBuiltin="1"/>
    <cellStyle name="60% - Accent2" xfId="32" builtinId="36" customBuiltin="1"/>
    <cellStyle name="60% - Accent3" xfId="36" builtinId="40" customBuiltin="1"/>
    <cellStyle name="60% - Accent4" xfId="40" builtinId="44" customBuiltin="1"/>
    <cellStyle name="60% - Accent5" xfId="44" builtinId="48" customBuiltin="1"/>
    <cellStyle name="60% - Accent6" xfId="48" builtinId="52" customBuiltin="1"/>
    <cellStyle name="Accent1" xfId="25" builtinId="29" customBuiltin="1"/>
    <cellStyle name="Accent2" xfId="29" builtinId="33" customBuiltin="1"/>
    <cellStyle name="Accent3" xfId="33" builtinId="37" customBuiltin="1"/>
    <cellStyle name="Accent4" xfId="37" builtinId="41" customBuiltin="1"/>
    <cellStyle name="Accent5" xfId="41" builtinId="45" customBuiltin="1"/>
    <cellStyle name="Accent6" xfId="45" builtinId="49" customBuiltin="1"/>
    <cellStyle name="Bad" xfId="8" builtinId="27" customBuiltin="1"/>
    <cellStyle name="Calculation" xfId="18" builtinId="22" customBuiltin="1"/>
    <cellStyle name="Check Cell" xfId="20" builtinId="23" customBuiltin="1"/>
    <cellStyle name="Comma 2" xfId="4"/>
    <cellStyle name="Comma 3" xfId="54"/>
    <cellStyle name="Explanatory Text" xfId="23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Input" xfId="16" builtinId="20" customBuiltin="1"/>
    <cellStyle name="Linked Cell" xfId="19" builtinId="24" customBuiltin="1"/>
    <cellStyle name="Neutral" xfId="15" builtinId="28" customBuiltin="1"/>
    <cellStyle name="Normal" xfId="0" builtinId="0"/>
    <cellStyle name="Normal 2" xfId="7"/>
    <cellStyle name="Normal 2 2" xfId="51"/>
    <cellStyle name="Normal 2 3" xfId="50"/>
    <cellStyle name="Normal 3" xfId="52"/>
    <cellStyle name="Normal 4" xfId="55"/>
    <cellStyle name="Normal 5" xfId="49"/>
    <cellStyle name="Note" xfId="22" builtinId="10" customBuiltin="1"/>
    <cellStyle name="Output" xfId="17" builtinId="21" customBuiltin="1"/>
    <cellStyle name="Percent" xfId="1" builtinId="5"/>
    <cellStyle name="Percent 2" xfId="2"/>
    <cellStyle name="Percent 2 2" xfId="6"/>
    <cellStyle name="Percent 2 3" xfId="57"/>
    <cellStyle name="Percent 3" xfId="5"/>
    <cellStyle name="Percent 4" xfId="3"/>
    <cellStyle name="Percent 5" xfId="53"/>
    <cellStyle name="Percent 6" xfId="56"/>
    <cellStyle name="Title" xfId="9" builtinId="15" customBuiltin="1"/>
    <cellStyle name="Total" xfId="24" builtinId="25" customBuiltin="1"/>
    <cellStyle name="Warning Text" xfId="2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Spot</a:t>
            </a:r>
            <a:r>
              <a:rPr lang="en-US" baseline="0"/>
              <a:t> and Forward Rates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406931388263008"/>
          <c:y val="0.13502624545246433"/>
          <c:w val="0.84498856419305624"/>
          <c:h val="0.71974571701605861"/>
        </c:manualLayout>
      </c:layout>
      <c:scatterChart>
        <c:scatterStyle val="lineMarker"/>
        <c:varyColors val="0"/>
        <c:ser>
          <c:idx val="0"/>
          <c:order val="0"/>
          <c:tx>
            <c:strRef>
              <c:f>bootstrap!$K$3</c:f>
              <c:strCache>
                <c:ptCount val="1"/>
                <c:pt idx="0">
                  <c:v>Forward Rate</c:v>
                </c:pt>
              </c:strCache>
            </c:strRef>
          </c:tx>
          <c:marker>
            <c:symbol val="diamond"/>
            <c:size val="2"/>
          </c:marker>
          <c:xVal>
            <c:numRef>
              <c:f>bootstrap!$I$4:$I$64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</c:numCache>
            </c:numRef>
          </c:xVal>
          <c:yVal>
            <c:numRef>
              <c:f>bootstrap!$K$4:$K$64</c:f>
              <c:numCache>
                <c:formatCode>General</c:formatCode>
                <c:ptCount val="61"/>
                <c:pt idx="1">
                  <c:v>6.8781591616657234E-3</c:v>
                </c:pt>
                <c:pt idx="2">
                  <c:v>6.8781591616657234E-3</c:v>
                </c:pt>
                <c:pt idx="3">
                  <c:v>1.3002933046530794E-2</c:v>
                </c:pt>
                <c:pt idx="4">
                  <c:v>1.3002933046530794E-2</c:v>
                </c:pt>
                <c:pt idx="5">
                  <c:v>1.7273060953529557E-2</c:v>
                </c:pt>
                <c:pt idx="6">
                  <c:v>1.7273060953529557E-2</c:v>
                </c:pt>
                <c:pt idx="7">
                  <c:v>1.9831556039569837E-2</c:v>
                </c:pt>
                <c:pt idx="8">
                  <c:v>1.9831556039569837E-2</c:v>
                </c:pt>
                <c:pt idx="9">
                  <c:v>2.183621237409502E-2</c:v>
                </c:pt>
                <c:pt idx="10">
                  <c:v>2.183621237409502E-2</c:v>
                </c:pt>
                <c:pt idx="11">
                  <c:v>2.3839255657908273E-2</c:v>
                </c:pt>
                <c:pt idx="12">
                  <c:v>2.3839255657908273E-2</c:v>
                </c:pt>
                <c:pt idx="13">
                  <c:v>2.5304706711822434E-2</c:v>
                </c:pt>
                <c:pt idx="14">
                  <c:v>2.5304706711822434E-2</c:v>
                </c:pt>
                <c:pt idx="15">
                  <c:v>2.6472685643739943E-2</c:v>
                </c:pt>
                <c:pt idx="16">
                  <c:v>2.6472685643739943E-2</c:v>
                </c:pt>
                <c:pt idx="17">
                  <c:v>2.7267706468363618E-2</c:v>
                </c:pt>
                <c:pt idx="18">
                  <c:v>2.7267706468363618E-2</c:v>
                </c:pt>
                <c:pt idx="19">
                  <c:v>2.7941960343705188E-2</c:v>
                </c:pt>
                <c:pt idx="20">
                  <c:v>2.7941960343705188E-2</c:v>
                </c:pt>
                <c:pt idx="21">
                  <c:v>2.8751027774946647E-2</c:v>
                </c:pt>
                <c:pt idx="22">
                  <c:v>2.8751027774946647E-2</c:v>
                </c:pt>
                <c:pt idx="23">
                  <c:v>2.9060085870937221E-2</c:v>
                </c:pt>
                <c:pt idx="24">
                  <c:v>2.9060085870937221E-2</c:v>
                </c:pt>
                <c:pt idx="25">
                  <c:v>2.9037108586589408E-2</c:v>
                </c:pt>
                <c:pt idx="26">
                  <c:v>2.9037108586589182E-2</c:v>
                </c:pt>
                <c:pt idx="27">
                  <c:v>2.9037108586589408E-2</c:v>
                </c:pt>
                <c:pt idx="28">
                  <c:v>2.9037108586589182E-2</c:v>
                </c:pt>
                <c:pt idx="29">
                  <c:v>2.9037108586589408E-2</c:v>
                </c:pt>
                <c:pt idx="30">
                  <c:v>2.9037108586589408E-2</c:v>
                </c:pt>
                <c:pt idx="31">
                  <c:v>2.897845709443287E-2</c:v>
                </c:pt>
                <c:pt idx="32">
                  <c:v>2.8978457094433096E-2</c:v>
                </c:pt>
                <c:pt idx="33">
                  <c:v>2.897845709443287E-2</c:v>
                </c:pt>
                <c:pt idx="34">
                  <c:v>2.897845709443287E-2</c:v>
                </c:pt>
                <c:pt idx="35">
                  <c:v>2.897845709443287E-2</c:v>
                </c:pt>
                <c:pt idx="36">
                  <c:v>2.897845709443287E-2</c:v>
                </c:pt>
                <c:pt idx="37">
                  <c:v>2.897845709443287E-2</c:v>
                </c:pt>
                <c:pt idx="38">
                  <c:v>2.897845709443287E-2</c:v>
                </c:pt>
                <c:pt idx="39">
                  <c:v>2.897845709443287E-2</c:v>
                </c:pt>
                <c:pt idx="40">
                  <c:v>2.897845709443287E-2</c:v>
                </c:pt>
                <c:pt idx="41">
                  <c:v>2.815608475643766E-2</c:v>
                </c:pt>
                <c:pt idx="42">
                  <c:v>2.8156084756437435E-2</c:v>
                </c:pt>
                <c:pt idx="43">
                  <c:v>2.8156084756437886E-2</c:v>
                </c:pt>
                <c:pt idx="44">
                  <c:v>2.815608475643766E-2</c:v>
                </c:pt>
                <c:pt idx="45">
                  <c:v>2.8156084756437886E-2</c:v>
                </c:pt>
                <c:pt idx="46">
                  <c:v>2.815608475643766E-2</c:v>
                </c:pt>
                <c:pt idx="47">
                  <c:v>2.815608475643766E-2</c:v>
                </c:pt>
                <c:pt idx="48">
                  <c:v>2.8156084756437886E-2</c:v>
                </c:pt>
                <c:pt idx="49">
                  <c:v>2.815608475643766E-2</c:v>
                </c:pt>
                <c:pt idx="50">
                  <c:v>2.8156084756437435E-2</c:v>
                </c:pt>
                <c:pt idx="51">
                  <c:v>2.7924630513589115E-2</c:v>
                </c:pt>
                <c:pt idx="52">
                  <c:v>2.792463051358934E-2</c:v>
                </c:pt>
                <c:pt idx="53">
                  <c:v>2.792463051358934E-2</c:v>
                </c:pt>
                <c:pt idx="54">
                  <c:v>2.792463051358934E-2</c:v>
                </c:pt>
                <c:pt idx="55">
                  <c:v>2.792463051358934E-2</c:v>
                </c:pt>
                <c:pt idx="56">
                  <c:v>2.792463051358934E-2</c:v>
                </c:pt>
                <c:pt idx="57">
                  <c:v>2.792463051358934E-2</c:v>
                </c:pt>
                <c:pt idx="58">
                  <c:v>2.792463051358934E-2</c:v>
                </c:pt>
                <c:pt idx="59">
                  <c:v>2.7924630513589566E-2</c:v>
                </c:pt>
                <c:pt idx="60">
                  <c:v>2.792463051358934E-2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bootstrap!$L$3</c:f>
              <c:strCache>
                <c:ptCount val="1"/>
                <c:pt idx="0">
                  <c:v>Zero Rate</c:v>
                </c:pt>
              </c:strCache>
            </c:strRef>
          </c:tx>
          <c:marker>
            <c:symbol val="square"/>
            <c:size val="2"/>
          </c:marker>
          <c:xVal>
            <c:numRef>
              <c:f>bootstrap!$I$4:$I$64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</c:numCache>
            </c:numRef>
          </c:xVal>
          <c:yVal>
            <c:numRef>
              <c:f>bootstrap!$L$4:$L$64</c:f>
              <c:numCache>
                <c:formatCode>0.00%</c:formatCode>
                <c:ptCount val="61"/>
                <c:pt idx="1">
                  <c:v>6.8781591616657234E-3</c:v>
                </c:pt>
                <c:pt idx="2">
                  <c:v>6.8781591616657502E-3</c:v>
                </c:pt>
                <c:pt idx="3">
                  <c:v>8.9197504566207592E-3</c:v>
                </c:pt>
                <c:pt idx="4">
                  <c:v>9.9405461040982489E-3</c:v>
                </c:pt>
                <c:pt idx="5">
                  <c:v>1.1407049073984514E-2</c:v>
                </c:pt>
                <c:pt idx="6">
                  <c:v>1.2384717720575344E-2</c:v>
                </c:pt>
                <c:pt idx="7">
                  <c:v>1.3448551766145981E-2</c:v>
                </c:pt>
                <c:pt idx="8">
                  <c:v>1.4246427300323961E-2</c:v>
                </c:pt>
                <c:pt idx="9">
                  <c:v>1.5089736752965179E-2</c:v>
                </c:pt>
                <c:pt idx="10">
                  <c:v>1.5764384315078171E-2</c:v>
                </c:pt>
                <c:pt idx="11">
                  <c:v>1.649846352806272E-2</c:v>
                </c:pt>
                <c:pt idx="12">
                  <c:v>1.7110196205549846E-2</c:v>
                </c:pt>
                <c:pt idx="13">
                  <c:v>1.7740543167570819E-2</c:v>
                </c:pt>
                <c:pt idx="14">
                  <c:v>1.8280840563588783E-2</c:v>
                </c:pt>
                <c:pt idx="15">
                  <c:v>1.8826963568932195E-2</c:v>
                </c:pt>
                <c:pt idx="16">
                  <c:v>1.9304821198607679E-2</c:v>
                </c:pt>
                <c:pt idx="17">
                  <c:v>1.9773226214475682E-2</c:v>
                </c:pt>
                <c:pt idx="18">
                  <c:v>2.0189586228580563E-2</c:v>
                </c:pt>
                <c:pt idx="19">
                  <c:v>2.0597605918850282E-2</c:v>
                </c:pt>
                <c:pt idx="20">
                  <c:v>2.0964823640093028E-2</c:v>
                </c:pt>
                <c:pt idx="21">
                  <c:v>2.1335595265562241E-2</c:v>
                </c:pt>
                <c:pt idx="22">
                  <c:v>2.1672660379625171E-2</c:v>
                </c:pt>
                <c:pt idx="23">
                  <c:v>2.1993852792290911E-2</c:v>
                </c:pt>
                <c:pt idx="24">
                  <c:v>2.2288279170567835E-2</c:v>
                </c:pt>
                <c:pt idx="25">
                  <c:v>2.2558232347208704E-2</c:v>
                </c:pt>
                <c:pt idx="26">
                  <c:v>2.2807419894877185E-2</c:v>
                </c:pt>
                <c:pt idx="27">
                  <c:v>2.3038149105681343E-2</c:v>
                </c:pt>
                <c:pt idx="28">
                  <c:v>2.3252397658570911E-2</c:v>
                </c:pt>
                <c:pt idx="29">
                  <c:v>2.3451870449192242E-2</c:v>
                </c:pt>
                <c:pt idx="30">
                  <c:v>2.363804505377215E-2</c:v>
                </c:pt>
                <c:pt idx="31">
                  <c:v>2.3810316409922493E-2</c:v>
                </c:pt>
                <c:pt idx="32">
                  <c:v>2.3971820806313448E-2</c:v>
                </c:pt>
                <c:pt idx="33">
                  <c:v>2.4123537057468579E-2</c:v>
                </c:pt>
                <c:pt idx="34">
                  <c:v>2.4266328823261647E-2</c:v>
                </c:pt>
                <c:pt idx="35">
                  <c:v>2.4400961059580829E-2</c:v>
                </c:pt>
                <c:pt idx="36">
                  <c:v>2.4528113727215608E-2</c:v>
                </c:pt>
                <c:pt idx="37">
                  <c:v>2.4648393277680935E-2</c:v>
                </c:pt>
                <c:pt idx="38">
                  <c:v>2.47623423254902E-2</c:v>
                </c:pt>
                <c:pt idx="39">
                  <c:v>2.4870447832386164E-2</c:v>
                </c:pt>
                <c:pt idx="40">
                  <c:v>2.4973148063937335E-2</c:v>
                </c:pt>
                <c:pt idx="41">
                  <c:v>2.5050780666193442E-2</c:v>
                </c:pt>
                <c:pt idx="42">
                  <c:v>2.5124716477865919E-2</c:v>
                </c:pt>
                <c:pt idx="43">
                  <c:v>2.5195213414576891E-2</c:v>
                </c:pt>
                <c:pt idx="44">
                  <c:v>2.5262505945073729E-2</c:v>
                </c:pt>
                <c:pt idx="45">
                  <c:v>2.5326807696437376E-2</c:v>
                </c:pt>
                <c:pt idx="46">
                  <c:v>2.5388313719480863E-2</c:v>
                </c:pt>
                <c:pt idx="47">
                  <c:v>2.544720246494803E-2</c:v>
                </c:pt>
                <c:pt idx="48">
                  <c:v>2.5503637512687399E-2</c:v>
                </c:pt>
                <c:pt idx="49">
                  <c:v>2.5557769089090465E-2</c:v>
                </c:pt>
                <c:pt idx="50">
                  <c:v>2.5609735402437404E-2</c:v>
                </c:pt>
                <c:pt idx="51">
                  <c:v>2.5655125502656074E-2</c:v>
                </c:pt>
                <c:pt idx="52">
                  <c:v>2.56987698297894E-2</c:v>
                </c:pt>
                <c:pt idx="53">
                  <c:v>2.5740767201181854E-2</c:v>
                </c:pt>
                <c:pt idx="54">
                  <c:v>2.5781209114374586E-2</c:v>
                </c:pt>
                <c:pt idx="55">
                  <c:v>2.5820180412542124E-2</c:v>
                </c:pt>
                <c:pt idx="56">
                  <c:v>2.5857759878632258E-2</c:v>
                </c:pt>
                <c:pt idx="57">
                  <c:v>2.5894020766964839E-2</c:v>
                </c:pt>
                <c:pt idx="58">
                  <c:v>2.5929031279837676E-2</c:v>
                </c:pt>
                <c:pt idx="59">
                  <c:v>2.5962854995663979E-2</c:v>
                </c:pt>
                <c:pt idx="60">
                  <c:v>2.5995551254296066E-2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04384"/>
        <c:axId val="398305920"/>
      </c:scatterChart>
      <c:valAx>
        <c:axId val="39830438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Terms</a:t>
                </a:r>
              </a:p>
            </c:rich>
          </c:tx>
          <c:layout>
            <c:manualLayout>
              <c:xMode val="edge"/>
              <c:yMode val="edge"/>
              <c:x val="0.898238754245129"/>
              <c:y val="0.7784729516460859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398305920"/>
        <c:crosses val="autoZero"/>
        <c:crossBetween val="midCat"/>
      </c:valAx>
      <c:valAx>
        <c:axId val="398305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Rates</a:t>
                </a:r>
              </a:p>
            </c:rich>
          </c:tx>
          <c:layout>
            <c:manualLayout>
              <c:xMode val="edge"/>
              <c:yMode val="edge"/>
              <c:x val="1.1982644453282716E-2"/>
              <c:y val="5.6739065373576342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398304384"/>
        <c:crosses val="autoZero"/>
        <c:crossBetween val="midCat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47944961716967505"/>
          <c:y val="0.66174748675851602"/>
          <c:w val="0.45621835176989883"/>
          <c:h val="7.4338784901499325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180975</xdr:rowOff>
        </xdr:from>
        <xdr:to>
          <xdr:col>3</xdr:col>
          <xdr:colOff>9525</xdr:colOff>
          <xdr:row>23</xdr:row>
          <xdr:rowOff>180975</xdr:rowOff>
        </xdr:to>
        <xdr:sp macro="" textlink="">
          <xdr:nvSpPr>
            <xdr:cNvPr id="29697" name="Bootstrap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423861</xdr:colOff>
      <xdr:row>3</xdr:row>
      <xdr:rowOff>4761</xdr:rowOff>
    </xdr:from>
    <xdr:to>
      <xdr:col>23</xdr:col>
      <xdr:colOff>152400</xdr:colOff>
      <xdr:row>23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Fed%20Stress%20Test/20140930_Stresstest/ccar_scenario_output_COMP01_093014_lr%20(mrm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yayang/Local%20Settings/Temporary%20Internet%20Files/Content.Outlook/1CWLOPFA/SAFG%20Grid%20Calcul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COMP01"/>
      <sheetName val="COMP01 for MRM"/>
    </sheetNames>
    <sheetDataSet>
      <sheetData sheetId="0"/>
      <sheetData sheetId="1">
        <row r="6">
          <cell r="A6" t="str">
            <v>AC.USD.LR.LIFE.MORTALITY.LOSS.RATE</v>
          </cell>
          <cell r="B6" t="str">
            <v>Multiplicative mortality % adjustment to be applied to base expected mortality at each quarter. For life insurance risks (life insurance, VAs with GMDBs, COLI/BOLI/HNW, group life, etc.) this is an addition to mortality: q'= (1+%)*q. For longevity risks (payout annuities, VAs with GMWBs, etc.) this is a reduction to mortality: q'=(1-%)*q. If the product has both mortality and longevity risks, BUs should determine which direction is more appropriate and will lead to higher losses over a 9 quarter horizon.</v>
          </cell>
          <cell r="C6" t="str">
            <v>Mortality/Longevity Risk</v>
          </cell>
          <cell r="D6">
            <v>0</v>
          </cell>
          <cell r="E6" t="str">
            <v>N/A</v>
          </cell>
          <cell r="F6" t="str">
            <v>Decimal</v>
          </cell>
          <cell r="G6">
            <v>0</v>
          </cell>
          <cell r="H6">
            <v>7.1999999999999995E-2</v>
          </cell>
          <cell r="I6">
            <v>7.1999999999999995E-2</v>
          </cell>
          <cell r="J6">
            <v>7.1999999999999995E-2</v>
          </cell>
          <cell r="K6">
            <v>7.1999999999999995E-2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</row>
        <row r="7">
          <cell r="A7" t="str">
            <v>AC.USD.LR.PANDEMIC.LOSS.RATE</v>
          </cell>
          <cell r="B7" t="str">
            <v>Multiplicative additional mortality % to be applied to expected mortality at each quarter: q'=(1+%). Should apply to all risks.</v>
          </cell>
          <cell r="C7" t="str">
            <v>Mortality/Longevity Risk</v>
          </cell>
          <cell r="D7">
            <v>0</v>
          </cell>
          <cell r="E7" t="str">
            <v>N/A</v>
          </cell>
          <cell r="F7" t="str">
            <v>Decimal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</row>
        <row r="8">
          <cell r="A8" t="str">
            <v>AL.USD.IDX.SBBIG.SPOT</v>
          </cell>
          <cell r="B8" t="str">
            <v>SPOT LEVEL OF CITIGROUP BIG BOND (SBBIG INDEX)</v>
          </cell>
          <cell r="C8" t="str">
            <v>Alternative Investment Risk</v>
          </cell>
          <cell r="D8">
            <v>1</v>
          </cell>
          <cell r="E8" t="str">
            <v>N/A</v>
          </cell>
          <cell r="F8" t="str">
            <v>Decimal</v>
          </cell>
          <cell r="G8">
            <v>1545.6108999999999</v>
          </cell>
          <cell r="H8">
            <v>1572.9293869999999</v>
          </cell>
          <cell r="I8">
            <v>1495.7261759999999</v>
          </cell>
          <cell r="J8">
            <v>1560.9482049999999</v>
          </cell>
          <cell r="K8">
            <v>1582.7362780000001</v>
          </cell>
          <cell r="L8">
            <v>1598.2180330000001</v>
          </cell>
          <cell r="M8">
            <v>1617.6646040000001</v>
          </cell>
          <cell r="N8">
            <v>1635.538088</v>
          </cell>
          <cell r="O8">
            <v>1655.0055629999999</v>
          </cell>
          <cell r="P8">
            <v>1655.7914069999999</v>
          </cell>
        </row>
        <row r="9">
          <cell r="A9" t="str">
            <v>CR.TRANSITION.CORP.EUR.1.10</v>
          </cell>
          <cell r="B9" t="str">
            <v>Probability of EUR corporate bonds migrate from ORR rating 1 to ORR rating 10; quarterly migration</v>
          </cell>
          <cell r="C9" t="str">
            <v>Credit Default/Migration Risk</v>
          </cell>
          <cell r="D9">
            <v>1</v>
          </cell>
          <cell r="E9" t="str">
            <v>N/A</v>
          </cell>
          <cell r="F9" t="str">
            <v>Decimal</v>
          </cell>
          <cell r="G9">
            <v>0</v>
          </cell>
          <cell r="H9">
            <v>4.5921699999999998E-5</v>
          </cell>
          <cell r="I9">
            <v>4.6801700000000003E-5</v>
          </cell>
          <cell r="J9">
            <v>7.8339399999999997E-5</v>
          </cell>
          <cell r="K9">
            <v>4.78204E-5</v>
          </cell>
          <cell r="L9">
            <v>4.4576500000000003E-5</v>
          </cell>
          <cell r="M9">
            <v>2.9075299999999999E-5</v>
          </cell>
          <cell r="N9">
            <v>2.71473E-5</v>
          </cell>
          <cell r="O9">
            <v>2.3054500000000001E-5</v>
          </cell>
          <cell r="P9">
            <v>1.8691499999999999E-5</v>
          </cell>
        </row>
        <row r="10">
          <cell r="A10" t="str">
            <v>CR.TRANSITION.CORP.EUR.10.10</v>
          </cell>
          <cell r="B10" t="str">
            <v>Probability of EUR corporate bonds migrate from ORR rating 10 to ORR rating 10; quarterly migration</v>
          </cell>
          <cell r="C10" t="str">
            <v>Credit Default/Migration Risk</v>
          </cell>
          <cell r="D10">
            <v>1</v>
          </cell>
          <cell r="E10" t="str">
            <v>N/A</v>
          </cell>
          <cell r="F10" t="str">
            <v>Decimal</v>
          </cell>
          <cell r="G10">
            <v>0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</row>
        <row r="11">
          <cell r="A11" t="str">
            <v>CR.TRANSITION.CORP.EUR.2+.10</v>
          </cell>
          <cell r="B11" t="str">
            <v>Probability of EUR corporate bonds migrate from ORR rating 2+ to ORR rating 10; quarterly migration</v>
          </cell>
          <cell r="C11" t="str">
            <v>Credit Default/Migration Risk</v>
          </cell>
          <cell r="D11">
            <v>1</v>
          </cell>
          <cell r="E11" t="str">
            <v>N/A</v>
          </cell>
          <cell r="F11" t="str">
            <v>Decimal</v>
          </cell>
          <cell r="G11">
            <v>0</v>
          </cell>
          <cell r="H11">
            <v>6.6438899999999998E-5</v>
          </cell>
          <cell r="I11">
            <v>6.7686899999999997E-5</v>
          </cell>
          <cell r="J11">
            <v>1.12088E-4</v>
          </cell>
          <cell r="K11">
            <v>6.9120000000000002E-5</v>
          </cell>
          <cell r="L11">
            <v>6.4524199999999995E-5</v>
          </cell>
          <cell r="M11">
            <v>4.2457999999999999E-5</v>
          </cell>
          <cell r="N11">
            <v>3.9697000000000003E-5</v>
          </cell>
          <cell r="O11">
            <v>3.3821600000000002E-5</v>
          </cell>
          <cell r="P11">
            <v>2.7531599999999999E-5</v>
          </cell>
        </row>
        <row r="12">
          <cell r="A12" t="str">
            <v>CR.TRANSITION.CORP.EUR.2-.10</v>
          </cell>
          <cell r="B12" t="str">
            <v>Probability of EUR corporate bonds migrate from ORR rating 2- to ORR rating 10; quarterly migration</v>
          </cell>
          <cell r="C12" t="str">
            <v>Credit Default/Migration Risk</v>
          </cell>
          <cell r="D12">
            <v>1</v>
          </cell>
          <cell r="E12" t="str">
            <v>N/A</v>
          </cell>
          <cell r="F12" t="str">
            <v>Decimal</v>
          </cell>
          <cell r="G12">
            <v>0</v>
          </cell>
          <cell r="H12">
            <v>1.10843E-4</v>
          </cell>
          <cell r="I12">
            <v>1.12866E-4</v>
          </cell>
          <cell r="J12">
            <v>1.84074E-4</v>
          </cell>
          <cell r="K12">
            <v>1.1516299999999999E-4</v>
          </cell>
          <cell r="L12">
            <v>1.0772600000000001E-4</v>
          </cell>
          <cell r="M12">
            <v>7.1774999999999996E-5</v>
          </cell>
          <cell r="N12">
            <v>6.7238199999999996E-5</v>
          </cell>
          <cell r="O12">
            <v>5.7550699999999998E-5</v>
          </cell>
          <cell r="P12">
            <v>4.7117299999999997E-5</v>
          </cell>
        </row>
        <row r="13">
          <cell r="A13" t="str">
            <v>CR.TRANSITION.CORP.EUR.2.10</v>
          </cell>
          <cell r="B13" t="str">
            <v>Probability of EUR corporate bonds migrate from ORR rating 2 to ORR rating 10; quarterly migration</v>
          </cell>
          <cell r="C13" t="str">
            <v>Credit Default/Migration Risk</v>
          </cell>
          <cell r="D13">
            <v>1</v>
          </cell>
          <cell r="E13" t="str">
            <v>N/A</v>
          </cell>
          <cell r="F13" t="str">
            <v>Decimal</v>
          </cell>
          <cell r="G13">
            <v>0</v>
          </cell>
          <cell r="H13">
            <v>9.60422E-5</v>
          </cell>
          <cell r="I13">
            <v>9.7809399999999999E-5</v>
          </cell>
          <cell r="J13">
            <v>1.6020800000000001E-4</v>
          </cell>
          <cell r="K13">
            <v>9.9822399999999995E-5</v>
          </cell>
          <cell r="L13">
            <v>9.3322300000000006E-5</v>
          </cell>
          <cell r="M13">
            <v>6.1959199999999995E-5</v>
          </cell>
          <cell r="N13">
            <v>5.8010999999999997E-5</v>
          </cell>
          <cell r="O13">
            <v>4.9588300000000001E-5</v>
          </cell>
          <cell r="P13">
            <v>4.0532399999999998E-5</v>
          </cell>
        </row>
        <row r="14">
          <cell r="A14" t="str">
            <v>CR.TRANSITION.CORP.EUR.3+.10</v>
          </cell>
          <cell r="B14" t="str">
            <v>Probability of EUR corporate bonds migrate from ORR rating 3+ to ORR rating 10; quarterly migration</v>
          </cell>
          <cell r="C14" t="str">
            <v>Credit Default/Migration Risk</v>
          </cell>
          <cell r="D14">
            <v>1</v>
          </cell>
          <cell r="E14" t="str">
            <v>N/A</v>
          </cell>
          <cell r="F14" t="str">
            <v>Decimal</v>
          </cell>
          <cell r="G14">
            <v>0</v>
          </cell>
          <cell r="H14">
            <v>1.2796199999999999E-4</v>
          </cell>
          <cell r="I14">
            <v>1.3027700000000001E-4</v>
          </cell>
          <cell r="J14">
            <v>2.11547E-4</v>
          </cell>
          <cell r="K14">
            <v>1.3289899999999999E-4</v>
          </cell>
          <cell r="L14">
            <v>1.2438999999999999E-4</v>
          </cell>
          <cell r="M14">
            <v>8.3173199999999998E-5</v>
          </cell>
          <cell r="N14">
            <v>7.7959400000000004E-5</v>
          </cell>
          <cell r="O14">
            <v>6.6815099999999997E-5</v>
          </cell>
          <cell r="P14">
            <v>5.47922E-5</v>
          </cell>
        </row>
        <row r="15">
          <cell r="A15" t="str">
            <v>CR.TRANSITION.CORP.EUR.3-.10</v>
          </cell>
          <cell r="B15" t="str">
            <v>Probability of EUR corporate bonds migrate from ORR rating 3- to ORR rating 10; quarterly migration</v>
          </cell>
          <cell r="C15" t="str">
            <v>Credit Default/Migration Risk</v>
          </cell>
          <cell r="D15">
            <v>1</v>
          </cell>
          <cell r="E15" t="str">
            <v>N/A</v>
          </cell>
          <cell r="F15" t="str">
            <v>Decimal</v>
          </cell>
          <cell r="G15">
            <v>0</v>
          </cell>
          <cell r="H15">
            <v>1.69056E-4</v>
          </cell>
          <cell r="I15">
            <v>1.7206400000000001E-4</v>
          </cell>
          <cell r="J15">
            <v>2.7701899999999998E-4</v>
          </cell>
          <cell r="K15">
            <v>1.7545000000000001E-4</v>
          </cell>
          <cell r="L15">
            <v>1.6440500000000001E-4</v>
          </cell>
          <cell r="M15">
            <v>1.1069999999999999E-4</v>
          </cell>
          <cell r="N15">
            <v>1.03874E-4</v>
          </cell>
          <cell r="O15">
            <v>8.9255700000000007E-5</v>
          </cell>
          <cell r="P15">
            <v>7.3431799999999997E-5</v>
          </cell>
        </row>
        <row r="16">
          <cell r="A16" t="str">
            <v>CR.TRANSITION.CORP.EUR.3.10</v>
          </cell>
          <cell r="B16" t="str">
            <v>Probability of EUR corporate bonds migrate from ORR rating 3 to ORR rating 10; quarterly migration</v>
          </cell>
          <cell r="C16" t="str">
            <v>Credit Default/Migration Risk</v>
          </cell>
          <cell r="D16">
            <v>1</v>
          </cell>
          <cell r="E16" t="str">
            <v>N/A</v>
          </cell>
          <cell r="F16" t="str">
            <v>Decimal</v>
          </cell>
          <cell r="G16">
            <v>0</v>
          </cell>
          <cell r="H16">
            <v>1.47641E-4</v>
          </cell>
          <cell r="I16">
            <v>1.5028900000000001E-4</v>
          </cell>
          <cell r="J16">
            <v>2.42976E-4</v>
          </cell>
          <cell r="K16">
            <v>1.5327900000000001E-4</v>
          </cell>
          <cell r="L16">
            <v>1.4354999999999999E-4</v>
          </cell>
          <cell r="M16">
            <v>9.6328299999999997E-5</v>
          </cell>
          <cell r="N16">
            <v>9.0340200000000006E-5</v>
          </cell>
          <cell r="O16">
            <v>7.7528599999999995E-5</v>
          </cell>
          <cell r="P16">
            <v>6.36831E-5</v>
          </cell>
        </row>
        <row r="17">
          <cell r="A17" t="str">
            <v>CR.TRANSITION.CORP.EUR.4+.10</v>
          </cell>
          <cell r="B17" t="str">
            <v>Probability of EUR corporate bonds migrate from ORR rating 4+ to ORR rating 10; quarterly migration</v>
          </cell>
          <cell r="C17" t="str">
            <v>Credit Default/Migration Risk</v>
          </cell>
          <cell r="D17">
            <v>1</v>
          </cell>
          <cell r="E17" t="str">
            <v>N/A</v>
          </cell>
          <cell r="F17" t="str">
            <v>Decimal</v>
          </cell>
          <cell r="G17">
            <v>0</v>
          </cell>
          <cell r="H17">
            <v>1.9363E-4</v>
          </cell>
          <cell r="I17">
            <v>1.9704600000000001E-4</v>
          </cell>
          <cell r="J17">
            <v>3.1590399999999999E-4</v>
          </cell>
          <cell r="K17">
            <v>2.00881E-4</v>
          </cell>
          <cell r="L17">
            <v>1.88343E-4</v>
          </cell>
          <cell r="M17">
            <v>1.2725599999999999E-4</v>
          </cell>
          <cell r="N17">
            <v>1.19473E-4</v>
          </cell>
          <cell r="O17">
            <v>1.02791E-4</v>
          </cell>
          <cell r="P17">
            <v>8.4702400000000004E-5</v>
          </cell>
        </row>
        <row r="18">
          <cell r="A18" t="str">
            <v>CR.TRANSITION.CORP.EUR.4-.10</v>
          </cell>
          <cell r="B18" t="str">
            <v>Probability of EUR corporate bonds migrate from ORR rating 4- to ORR rating 10; quarterly migration</v>
          </cell>
          <cell r="C18" t="str">
            <v>Credit Default/Migration Risk</v>
          </cell>
          <cell r="D18">
            <v>1</v>
          </cell>
          <cell r="E18" t="str">
            <v>N/A</v>
          </cell>
          <cell r="F18" t="str">
            <v>Decimal</v>
          </cell>
          <cell r="G18">
            <v>0</v>
          </cell>
          <cell r="H18">
            <v>3.0988000000000001E-4</v>
          </cell>
          <cell r="I18">
            <v>3.1518300000000002E-4</v>
          </cell>
          <cell r="J18">
            <v>4.9782600000000004E-4</v>
          </cell>
          <cell r="K18">
            <v>3.2108000000000001E-4</v>
          </cell>
          <cell r="L18">
            <v>3.0164500000000002E-4</v>
          </cell>
          <cell r="M18">
            <v>2.063E-4</v>
          </cell>
          <cell r="N18">
            <v>1.94052E-4</v>
          </cell>
          <cell r="O18">
            <v>1.6771000000000001E-4</v>
          </cell>
          <cell r="P18">
            <v>1.3898099999999999E-4</v>
          </cell>
        </row>
        <row r="19">
          <cell r="A19" t="str">
            <v>CR.TRANSITION.CORP.EUR.4.10</v>
          </cell>
          <cell r="B19" t="str">
            <v>Probability of EUR corporate bonds migrate from ORR rating 4 to ORR rating 10; quarterly migration</v>
          </cell>
          <cell r="C19" t="str">
            <v>Credit Default/Migration Risk</v>
          </cell>
          <cell r="D19">
            <v>1</v>
          </cell>
          <cell r="E19" t="str">
            <v>N/A</v>
          </cell>
          <cell r="F19" t="str">
            <v>Decimal</v>
          </cell>
          <cell r="G19">
            <v>0</v>
          </cell>
          <cell r="H19">
            <v>2.21657E-4</v>
          </cell>
          <cell r="I19">
            <v>2.25534E-4</v>
          </cell>
          <cell r="J19">
            <v>3.6004599999999999E-4</v>
          </cell>
          <cell r="K19">
            <v>2.2987499999999999E-4</v>
          </cell>
          <cell r="L19">
            <v>2.1565000000000001E-4</v>
          </cell>
          <cell r="M19">
            <v>1.4621100000000001E-4</v>
          </cell>
          <cell r="N19">
            <v>1.37343E-4</v>
          </cell>
          <cell r="O19">
            <v>1.18317E-4</v>
          </cell>
          <cell r="P19">
            <v>9.7653100000000002E-5</v>
          </cell>
        </row>
        <row r="20">
          <cell r="A20" t="str">
            <v>CR.TRANSITION.CORP.EUR.5+.10</v>
          </cell>
          <cell r="B20" t="str">
            <v>Probability of EUR corporate bonds migrate from ORR rating 5+ to ORR rating 10; quarterly migration</v>
          </cell>
          <cell r="C20" t="str">
            <v>Credit Default/Migration Risk</v>
          </cell>
          <cell r="D20">
            <v>1</v>
          </cell>
          <cell r="E20" t="str">
            <v>N/A</v>
          </cell>
          <cell r="F20" t="str">
            <v>Decimal</v>
          </cell>
          <cell r="G20">
            <v>0</v>
          </cell>
          <cell r="H20">
            <v>7.53814E-4</v>
          </cell>
          <cell r="I20">
            <v>7.6592000000000001E-4</v>
          </cell>
          <cell r="J20">
            <v>1.1746580000000001E-3</v>
          </cell>
          <cell r="K20">
            <v>7.7916300000000003E-4</v>
          </cell>
          <cell r="L20">
            <v>7.3491400000000003E-4</v>
          </cell>
          <cell r="M20">
            <v>5.1480500000000002E-4</v>
          </cell>
          <cell r="N20">
            <v>4.8606499999999999E-4</v>
          </cell>
          <cell r="O20">
            <v>4.2384699999999998E-4</v>
          </cell>
          <cell r="P20">
            <v>3.5520700000000002E-4</v>
          </cell>
        </row>
        <row r="21">
          <cell r="A21" t="str">
            <v>CR.TRANSITION.CORP.EUR.5-.10</v>
          </cell>
          <cell r="B21" t="str">
            <v>Probability of EUR corporate bonds migrate from ORR rating 5- to ORR rating 10; quarterly migration</v>
          </cell>
          <cell r="C21" t="str">
            <v>Credit Default/Migration Risk</v>
          </cell>
          <cell r="D21">
            <v>1</v>
          </cell>
          <cell r="E21" t="str">
            <v>N/A</v>
          </cell>
          <cell r="F21" t="str">
            <v>Decimal</v>
          </cell>
          <cell r="G21">
            <v>0</v>
          </cell>
          <cell r="H21">
            <v>2.0517130000000001E-3</v>
          </cell>
          <cell r="I21">
            <v>2.0820439999999999E-3</v>
          </cell>
          <cell r="J21">
            <v>3.0817919999999999E-3</v>
          </cell>
          <cell r="K21">
            <v>2.1146649999999999E-3</v>
          </cell>
          <cell r="L21">
            <v>2.0041569999999999E-3</v>
          </cell>
          <cell r="M21">
            <v>1.4449319999999999E-3</v>
          </cell>
          <cell r="N21">
            <v>1.3704679999999999E-3</v>
          </cell>
          <cell r="O21">
            <v>1.207985E-3</v>
          </cell>
          <cell r="P21">
            <v>1.026253E-3</v>
          </cell>
        </row>
        <row r="22">
          <cell r="A22" t="str">
            <v>CR.TRANSITION.CORP.EUR.5.10</v>
          </cell>
          <cell r="B22" t="str">
            <v>Probability of EUR corporate bonds migrate from ORR rating 5 to ORR rating 10; quarterly migration</v>
          </cell>
          <cell r="C22" t="str">
            <v>Credit Default/Migration Risk</v>
          </cell>
          <cell r="D22">
            <v>1</v>
          </cell>
          <cell r="E22" t="str">
            <v>N/A</v>
          </cell>
          <cell r="F22" t="str">
            <v>Decimal</v>
          </cell>
          <cell r="G22">
            <v>0</v>
          </cell>
          <cell r="H22">
            <v>8.6662399999999998E-4</v>
          </cell>
          <cell r="I22">
            <v>8.8039300000000004E-4</v>
          </cell>
          <cell r="J22">
            <v>1.3437740000000001E-3</v>
          </cell>
          <cell r="K22">
            <v>8.9541800000000004E-4</v>
          </cell>
          <cell r="L22">
            <v>8.4511299999999998E-4</v>
          </cell>
          <cell r="M22">
            <v>5.9430500000000005E-4</v>
          </cell>
          <cell r="N22">
            <v>5.6147E-4</v>
          </cell>
          <cell r="O22">
            <v>4.9030999999999999E-4</v>
          </cell>
          <cell r="P22">
            <v>4.1166100000000001E-4</v>
          </cell>
        </row>
        <row r="23">
          <cell r="A23" t="str">
            <v>CR.TRANSITION.CORP.EUR.6+.10</v>
          </cell>
          <cell r="B23" t="str">
            <v>Probability of EUR corporate bonds migrate from ORR rating 6+ to ORR rating 10; quarterly migration</v>
          </cell>
          <cell r="C23" t="str">
            <v>Credit Default/Migration Risk</v>
          </cell>
          <cell r="D23">
            <v>1</v>
          </cell>
          <cell r="E23" t="str">
            <v>N/A</v>
          </cell>
          <cell r="F23" t="str">
            <v>Decimal</v>
          </cell>
          <cell r="G23">
            <v>0</v>
          </cell>
          <cell r="H23">
            <v>2.8134280000000002E-3</v>
          </cell>
          <cell r="I23">
            <v>2.8538209999999999E-3</v>
          </cell>
          <cell r="J23">
            <v>4.1746539999999999E-3</v>
          </cell>
          <cell r="K23">
            <v>2.8970519999999998E-3</v>
          </cell>
          <cell r="L23">
            <v>2.7500350000000001E-3</v>
          </cell>
          <cell r="M23">
            <v>2.0017139999999999E-3</v>
          </cell>
          <cell r="N23">
            <v>1.90142E-3</v>
          </cell>
          <cell r="O23">
            <v>1.682006E-3</v>
          </cell>
          <cell r="P23">
            <v>1.435476E-3</v>
          </cell>
        </row>
        <row r="24">
          <cell r="A24" t="str">
            <v>CR.TRANSITION.CORP.EUR.6-.10</v>
          </cell>
          <cell r="B24" t="str">
            <v>Probability of EUR corporate bonds migrate from ORR rating 6- to ORR rating 10; quarterly migration</v>
          </cell>
          <cell r="C24" t="str">
            <v>Credit Default/Migration Risk</v>
          </cell>
          <cell r="D24">
            <v>1</v>
          </cell>
          <cell r="E24" t="str">
            <v>N/A</v>
          </cell>
          <cell r="F24" t="str">
            <v>Decimal</v>
          </cell>
          <cell r="G24">
            <v>0</v>
          </cell>
          <cell r="H24">
            <v>7.8935589999999996E-3</v>
          </cell>
          <cell r="I24">
            <v>7.9951510000000007E-3</v>
          </cell>
          <cell r="J24">
            <v>1.122656E-2</v>
          </cell>
          <cell r="K24">
            <v>8.1023499999999995E-3</v>
          </cell>
          <cell r="L24">
            <v>7.7338299999999997E-3</v>
          </cell>
          <cell r="M24">
            <v>5.8189080000000002E-3</v>
          </cell>
          <cell r="N24">
            <v>5.5563779999999998E-3</v>
          </cell>
          <cell r="O24">
            <v>4.9768629999999998E-3</v>
          </cell>
          <cell r="P24">
            <v>4.3153719999999996E-3</v>
          </cell>
        </row>
        <row r="25">
          <cell r="A25" t="str">
            <v>CR.TRANSITION.CORP.EUR.6.10</v>
          </cell>
          <cell r="B25" t="str">
            <v>Probability of EUR corporate bonds migrate from ORR rating 6 to ORR rating 10; quarterly migration</v>
          </cell>
          <cell r="C25" t="str">
            <v>Credit Default/Migration Risk</v>
          </cell>
          <cell r="D25">
            <v>1</v>
          </cell>
          <cell r="E25" t="str">
            <v>N/A</v>
          </cell>
          <cell r="F25" t="str">
            <v>Decimal</v>
          </cell>
          <cell r="G25">
            <v>0</v>
          </cell>
          <cell r="H25">
            <v>4.4126429999999999E-3</v>
          </cell>
          <cell r="I25">
            <v>4.4732169999999998E-3</v>
          </cell>
          <cell r="J25">
            <v>6.4308660000000004E-3</v>
          </cell>
          <cell r="K25">
            <v>4.5376239999999997E-3</v>
          </cell>
          <cell r="L25">
            <v>4.3174750000000003E-3</v>
          </cell>
          <cell r="M25">
            <v>3.1871450000000002E-3</v>
          </cell>
          <cell r="N25">
            <v>3.03419E-3</v>
          </cell>
          <cell r="O25">
            <v>2.6982880000000001E-3</v>
          </cell>
          <cell r="P25">
            <v>2.3183359999999998E-3</v>
          </cell>
        </row>
        <row r="26">
          <cell r="A26" t="str">
            <v>CR.TRANSITION.CORP.EUR.7.10</v>
          </cell>
          <cell r="B26" t="str">
            <v>Probability of EUR corporate bonds migrate from ORR rating 7 to ORR rating 10; quarterly migration</v>
          </cell>
          <cell r="C26" t="str">
            <v>Credit Default/Migration Risk</v>
          </cell>
          <cell r="D26">
            <v>1</v>
          </cell>
          <cell r="E26" t="str">
            <v>N/A</v>
          </cell>
          <cell r="F26" t="str">
            <v>Decimal</v>
          </cell>
          <cell r="G26">
            <v>0</v>
          </cell>
          <cell r="H26">
            <v>2.2234074E-2</v>
          </cell>
          <cell r="I26">
            <v>2.2483025E-2</v>
          </cell>
          <cell r="J26">
            <v>3.0159141E-2</v>
          </cell>
          <cell r="K26">
            <v>2.2742897000000002E-2</v>
          </cell>
          <cell r="L26">
            <v>2.1842996999999999E-2</v>
          </cell>
          <cell r="M26">
            <v>1.7053270999999998E-2</v>
          </cell>
          <cell r="N26">
            <v>1.6379659000000001E-2</v>
          </cell>
          <cell r="O26">
            <v>1.4877817999999999E-2</v>
          </cell>
          <cell r="P26">
            <v>1.3133092000000001E-2</v>
          </cell>
        </row>
        <row r="27">
          <cell r="A27" t="str">
            <v>CR.TRANSITION.CORP.EUR.8_9.10</v>
          </cell>
          <cell r="B27" t="str">
            <v>Probability of EUR corporate bonds migrate from ORR rating 8_9 to ORR rating 10; quarterly migration</v>
          </cell>
          <cell r="C27" t="str">
            <v>Credit Default/Migration Risk</v>
          </cell>
          <cell r="D27">
            <v>1</v>
          </cell>
          <cell r="E27" t="str">
            <v>N/A</v>
          </cell>
          <cell r="F27" t="str">
            <v>Decimal</v>
          </cell>
          <cell r="G27">
            <v>0</v>
          </cell>
          <cell r="H27">
            <v>0.18844904700000001</v>
          </cell>
          <cell r="I27">
            <v>0.189724844</v>
          </cell>
          <cell r="J27">
            <v>0.225856113</v>
          </cell>
          <cell r="K27">
            <v>0.19105460099999999</v>
          </cell>
          <cell r="L27">
            <v>0.18648141500000001</v>
          </cell>
          <cell r="M27">
            <v>0.16039176899999999</v>
          </cell>
          <cell r="N27">
            <v>0.15645873099999999</v>
          </cell>
          <cell r="O27">
            <v>0.14745581399999999</v>
          </cell>
          <cell r="P27">
            <v>0.13649503599999999</v>
          </cell>
        </row>
        <row r="28">
          <cell r="A28" t="str">
            <v>CR.TRANSITION.CORP.OTHER.1.10</v>
          </cell>
          <cell r="B28" t="str">
            <v>Probability of Non US/CAN/EUR corporate bonds migrate from ORR rating 1 to ORR rating 10; quarterly migration</v>
          </cell>
          <cell r="C28" t="str">
            <v>Credit Default/Migration Risk</v>
          </cell>
          <cell r="D28">
            <v>1</v>
          </cell>
          <cell r="E28" t="str">
            <v>N/A</v>
          </cell>
          <cell r="F28" t="str">
            <v>Decimal</v>
          </cell>
          <cell r="G28">
            <v>0</v>
          </cell>
          <cell r="H28">
            <v>3.6632599999999999E-5</v>
          </cell>
          <cell r="I28">
            <v>4.62163E-5</v>
          </cell>
          <cell r="J28">
            <v>8.8908700000000005E-5</v>
          </cell>
          <cell r="K28">
            <v>5.89517E-5</v>
          </cell>
          <cell r="L28">
            <v>5.4223099999999999E-5</v>
          </cell>
          <cell r="M28">
            <v>3.8581100000000002E-5</v>
          </cell>
          <cell r="N28">
            <v>3.4368500000000001E-5</v>
          </cell>
          <cell r="O28">
            <v>3.3159099999999999E-5</v>
          </cell>
          <cell r="P28">
            <v>2.98651E-5</v>
          </cell>
        </row>
        <row r="29">
          <cell r="A29" t="str">
            <v>CR.TRANSITION.CORP.OTHER.10.10</v>
          </cell>
          <cell r="B29" t="str">
            <v>Probability of Non US/CAN/EUR corporate bonds migrate from ORR rating 10 to ORR rating 10; quarterly migration</v>
          </cell>
          <cell r="C29" t="str">
            <v>Credit Default/Migration Risk</v>
          </cell>
          <cell r="D29">
            <v>1</v>
          </cell>
          <cell r="E29" t="str">
            <v>N/A</v>
          </cell>
          <cell r="F29" t="str">
            <v>Decimal</v>
          </cell>
          <cell r="G29">
            <v>0</v>
          </cell>
          <cell r="H29">
            <v>1</v>
          </cell>
          <cell r="I29">
            <v>1</v>
          </cell>
          <cell r="J29">
            <v>1</v>
          </cell>
          <cell r="K29">
            <v>1</v>
          </cell>
          <cell r="L29">
            <v>1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</row>
        <row r="30">
          <cell r="A30" t="str">
            <v>CR.TRANSITION.CORP.OTHER.2+.10</v>
          </cell>
          <cell r="B30" t="str">
            <v>Probability of Non US/CAN/EUR corporate bonds migrate from ORR rating 2+ to ORR rating 10; quarterly migration</v>
          </cell>
          <cell r="C30" t="str">
            <v>Credit Default/Migration Risk</v>
          </cell>
          <cell r="D30">
            <v>1</v>
          </cell>
          <cell r="E30" t="str">
            <v>N/A</v>
          </cell>
          <cell r="F30" t="str">
            <v>Decimal</v>
          </cell>
          <cell r="G30">
            <v>0</v>
          </cell>
          <cell r="H30">
            <v>5.3122199999999998E-5</v>
          </cell>
          <cell r="I30">
            <v>6.6717099999999999E-5</v>
          </cell>
          <cell r="J30">
            <v>1.26601E-4</v>
          </cell>
          <cell r="K30">
            <v>8.4676899999999996E-5</v>
          </cell>
          <cell r="L30">
            <v>7.8024999999999999E-5</v>
          </cell>
          <cell r="M30">
            <v>5.5921799999999997E-5</v>
          </cell>
          <cell r="N30">
            <v>4.9935699999999997E-5</v>
          </cell>
          <cell r="O30">
            <v>4.8216700000000002E-5</v>
          </cell>
          <cell r="P30">
            <v>4.35185E-5</v>
          </cell>
        </row>
        <row r="31">
          <cell r="A31" t="str">
            <v>CR.TRANSITION.CORP.OTHER.2-.10</v>
          </cell>
          <cell r="B31" t="str">
            <v>Probability of Non US/CAN/EUR corporate bonds migrate from ORR rating 2- to ORR rating 10; quarterly migration</v>
          </cell>
          <cell r="C31" t="str">
            <v>Credit Default/Migration Risk</v>
          </cell>
          <cell r="D31">
            <v>1</v>
          </cell>
          <cell r="E31" t="str">
            <v>N/A</v>
          </cell>
          <cell r="F31" t="str">
            <v>Decimal</v>
          </cell>
          <cell r="G31">
            <v>0</v>
          </cell>
          <cell r="H31">
            <v>8.8979000000000003E-5</v>
          </cell>
          <cell r="I31">
            <v>1.11031E-4</v>
          </cell>
          <cell r="J31">
            <v>2.0662799999999999E-4</v>
          </cell>
          <cell r="K31">
            <v>1.3992E-4</v>
          </cell>
          <cell r="L31">
            <v>1.2925799999999999E-4</v>
          </cell>
          <cell r="M31">
            <v>9.3601499999999995E-5</v>
          </cell>
          <cell r="N31">
            <v>8.3867699999999997E-5</v>
          </cell>
          <cell r="O31">
            <v>8.1071199999999997E-5</v>
          </cell>
          <cell r="P31">
            <v>7.3391000000000003E-5</v>
          </cell>
        </row>
        <row r="32">
          <cell r="A32" t="str">
            <v>CR.TRANSITION.CORP.OTHER.2.10</v>
          </cell>
          <cell r="B32" t="str">
            <v>Probability of Non US/CAN/EUR corporate bonds migrate from ORR rating 2 to ORR rating 10; quarterly migration</v>
          </cell>
          <cell r="C32" t="str">
            <v>Credit Default/Migration Risk</v>
          </cell>
          <cell r="D32">
            <v>1</v>
          </cell>
          <cell r="E32" t="str">
            <v>N/A</v>
          </cell>
          <cell r="F32" t="str">
            <v>Decimal</v>
          </cell>
          <cell r="G32">
            <v>0</v>
          </cell>
          <cell r="H32">
            <v>7.7004700000000005E-5</v>
          </cell>
          <cell r="I32">
            <v>9.6265099999999994E-5</v>
          </cell>
          <cell r="J32">
            <v>1.80139E-4</v>
          </cell>
          <cell r="K32">
            <v>1.21557E-4</v>
          </cell>
          <cell r="L32">
            <v>1.12213E-4</v>
          </cell>
          <cell r="M32">
            <v>8.1022100000000005E-5</v>
          </cell>
          <cell r="N32">
            <v>7.2526400000000004E-5</v>
          </cell>
          <cell r="O32">
            <v>7.0085899999999999E-5</v>
          </cell>
          <cell r="P32">
            <v>6.3392599999999993E-5</v>
          </cell>
        </row>
        <row r="33">
          <cell r="A33" t="str">
            <v>CR.TRANSITION.CORP.OTHER.3+.10</v>
          </cell>
          <cell r="B33" t="str">
            <v>Probability of Non US/CAN/EUR corporate bonds migrate from ORR rating 3+ to ORR rating 10; quarterly migration</v>
          </cell>
          <cell r="C33" t="str">
            <v>Credit Default/Migration Risk</v>
          </cell>
          <cell r="D33">
            <v>1</v>
          </cell>
          <cell r="E33" t="str">
            <v>N/A</v>
          </cell>
          <cell r="F33" t="str">
            <v>Decimal</v>
          </cell>
          <cell r="G33">
            <v>0</v>
          </cell>
          <cell r="H33">
            <v>1.02853E-4</v>
          </cell>
          <cell r="I33">
            <v>1.2810600000000001E-4</v>
          </cell>
          <cell r="J33">
            <v>2.3708099999999999E-4</v>
          </cell>
          <cell r="K33">
            <v>1.6111000000000001E-4</v>
          </cell>
          <cell r="L33">
            <v>1.4894100000000001E-4</v>
          </cell>
          <cell r="M33">
            <v>1.08173E-4</v>
          </cell>
          <cell r="N33">
            <v>9.70188E-5</v>
          </cell>
          <cell r="O33">
            <v>9.3813600000000006E-5</v>
          </cell>
          <cell r="P33">
            <v>8.4999099999999997E-5</v>
          </cell>
        </row>
        <row r="34">
          <cell r="A34" t="str">
            <v>CR.TRANSITION.CORP.OTHER.3-.10</v>
          </cell>
          <cell r="B34" t="str">
            <v>Probability of Non US/CAN/EUR corporate bonds migrate from ORR rating 3- to ORR rating 10; quarterly migration</v>
          </cell>
          <cell r="C34" t="str">
            <v>Credit Default/Migration Risk</v>
          </cell>
          <cell r="D34">
            <v>1</v>
          </cell>
          <cell r="E34" t="str">
            <v>N/A</v>
          </cell>
          <cell r="F34" t="str">
            <v>Decimal</v>
          </cell>
          <cell r="G34">
            <v>0</v>
          </cell>
          <cell r="H34">
            <v>1.36253E-4</v>
          </cell>
          <cell r="I34">
            <v>1.6908900000000001E-4</v>
          </cell>
          <cell r="J34">
            <v>3.0952300000000002E-4</v>
          </cell>
          <cell r="K34">
            <v>2.11802E-4</v>
          </cell>
          <cell r="L34">
            <v>1.9608399999999999E-4</v>
          </cell>
          <cell r="M34">
            <v>1.4323800000000001E-4</v>
          </cell>
          <cell r="N34">
            <v>1.2871399999999999E-4</v>
          </cell>
          <cell r="O34">
            <v>1.2453900000000001E-4</v>
          </cell>
          <cell r="P34">
            <v>1.13028E-4</v>
          </cell>
        </row>
        <row r="35">
          <cell r="A35" t="str">
            <v>CR.TRANSITION.CORP.OTHER.3.10</v>
          </cell>
          <cell r="B35" t="str">
            <v>Probability of Non US/CAN/EUR corporate bonds migrate from ORR rating 3 to ORR rating 10; quarterly migration</v>
          </cell>
          <cell r="C35" t="str">
            <v>Credit Default/Migration Risk</v>
          </cell>
          <cell r="D35">
            <v>1</v>
          </cell>
          <cell r="E35" t="str">
            <v>N/A</v>
          </cell>
          <cell r="F35" t="str">
            <v>Decimal</v>
          </cell>
          <cell r="G35">
            <v>0</v>
          </cell>
          <cell r="H35">
            <v>1.18832E-4</v>
          </cell>
          <cell r="I35">
            <v>1.47732E-4</v>
          </cell>
          <cell r="J35">
            <v>2.7187700000000001E-4</v>
          </cell>
          <cell r="K35">
            <v>1.8541299999999999E-4</v>
          </cell>
          <cell r="L35">
            <v>1.71533E-4</v>
          </cell>
          <cell r="M35">
            <v>1.2495099999999999E-4</v>
          </cell>
          <cell r="N35">
            <v>1.12176E-4</v>
          </cell>
          <cell r="O35">
            <v>1.0850500000000001E-4</v>
          </cell>
          <cell r="P35">
            <v>9.8394399999999994E-5</v>
          </cell>
        </row>
        <row r="36">
          <cell r="A36" t="str">
            <v>CR.TRANSITION.CORP.OTHER.4+.10</v>
          </cell>
          <cell r="B36" t="str">
            <v>Probability of Non US/CAN/EUR corporate bonds migrate from ORR rating 4+ to ORR rating 10; quarterly migration</v>
          </cell>
          <cell r="C36" t="str">
            <v>Credit Default/Migration Risk</v>
          </cell>
          <cell r="D36">
            <v>1</v>
          </cell>
          <cell r="E36" t="str">
            <v>N/A</v>
          </cell>
          <cell r="F36" t="str">
            <v>Decimal</v>
          </cell>
          <cell r="G36">
            <v>0</v>
          </cell>
          <cell r="H36">
            <v>1.56284E-4</v>
          </cell>
          <cell r="I36">
            <v>1.9359600000000001E-4</v>
          </cell>
          <cell r="J36">
            <v>3.5247700000000002E-4</v>
          </cell>
          <cell r="K36">
            <v>2.4202199999999999E-4</v>
          </cell>
          <cell r="L36">
            <v>2.24219E-4</v>
          </cell>
          <cell r="M36">
            <v>1.6425899999999999E-4</v>
          </cell>
          <cell r="N36">
            <v>1.47742E-4</v>
          </cell>
          <cell r="O36">
            <v>1.4299500000000001E-4</v>
          </cell>
          <cell r="P36">
            <v>1.2988499999999999E-4</v>
          </cell>
        </row>
        <row r="37">
          <cell r="A37" t="str">
            <v>CR.TRANSITION.CORP.OTHER.4-.10</v>
          </cell>
          <cell r="B37" t="str">
            <v>Probability of Non US/CAN/EUR corporate bonds migrate from ORR rating 4- to ORR rating 10; quarterly migration</v>
          </cell>
          <cell r="C37" t="str">
            <v>Credit Default/Migration Risk</v>
          </cell>
          <cell r="D37">
            <v>1</v>
          </cell>
          <cell r="E37" t="str">
            <v>N/A</v>
          </cell>
          <cell r="F37" t="str">
            <v>Decimal</v>
          </cell>
          <cell r="G37">
            <v>0</v>
          </cell>
          <cell r="H37">
            <v>2.2298000000000001E-4</v>
          </cell>
          <cell r="I37">
            <v>2.7490799999999998E-4</v>
          </cell>
          <cell r="J37">
            <v>4.9346399999999999E-4</v>
          </cell>
          <cell r="K37">
            <v>3.4189000000000002E-4</v>
          </cell>
          <cell r="L37">
            <v>3.1732800000000002E-4</v>
          </cell>
          <cell r="M37">
            <v>2.34217E-4</v>
          </cell>
          <cell r="N37">
            <v>2.11189E-4</v>
          </cell>
          <cell r="O37">
            <v>2.0456700000000001E-4</v>
          </cell>
          <cell r="P37">
            <v>1.8621800000000001E-4</v>
          </cell>
        </row>
        <row r="38">
          <cell r="A38" t="str">
            <v>CR.TRANSITION.CORP.OTHER.4.10</v>
          </cell>
          <cell r="B38" t="str">
            <v>Probability of Non US/CAN/EUR corporate bonds migrate from ORR rating 4 to ORR rating 10; quarterly migration</v>
          </cell>
          <cell r="C38" t="str">
            <v>Credit Default/Migration Risk</v>
          </cell>
          <cell r="D38">
            <v>1</v>
          </cell>
          <cell r="E38" t="str">
            <v>N/A</v>
          </cell>
          <cell r="F38" t="str">
            <v>Decimal</v>
          </cell>
          <cell r="G38">
            <v>0</v>
          </cell>
          <cell r="H38">
            <v>1.7917399999999999E-4</v>
          </cell>
          <cell r="I38">
            <v>2.21549E-4</v>
          </cell>
          <cell r="J38">
            <v>4.0118800000000002E-4</v>
          </cell>
          <cell r="K38">
            <v>2.7641800000000001E-4</v>
          </cell>
          <cell r="L38">
            <v>2.56266E-4</v>
          </cell>
          <cell r="M38">
            <v>1.8827399999999999E-4</v>
          </cell>
          <cell r="N38">
            <v>1.6950299999999999E-4</v>
          </cell>
          <cell r="O38">
            <v>1.6410700000000001E-4</v>
          </cell>
          <cell r="P38">
            <v>1.4918599999999999E-4</v>
          </cell>
        </row>
        <row r="39">
          <cell r="A39" t="str">
            <v>CR.TRANSITION.CORP.OTHER.5+.10</v>
          </cell>
          <cell r="B39" t="str">
            <v>Probability of Non US/CAN/EUR corporate bonds migrate from ORR rating 5+ to ORR rating 10; quarterly migration</v>
          </cell>
          <cell r="C39" t="str">
            <v>Credit Default/Migration Risk</v>
          </cell>
          <cell r="D39">
            <v>1</v>
          </cell>
          <cell r="E39" t="str">
            <v>N/A</v>
          </cell>
          <cell r="F39" t="str">
            <v>Decimal</v>
          </cell>
          <cell r="G39">
            <v>0</v>
          </cell>
          <cell r="H39">
            <v>3.9466399999999997E-4</v>
          </cell>
          <cell r="I39">
            <v>4.8275E-4</v>
          </cell>
          <cell r="J39">
            <v>8.4645300000000005E-4</v>
          </cell>
          <cell r="K39">
            <v>5.9523599999999996E-4</v>
          </cell>
          <cell r="L39">
            <v>5.5416000000000005E-4</v>
          </cell>
          <cell r="M39">
            <v>4.14108E-4</v>
          </cell>
          <cell r="N39">
            <v>3.74924E-4</v>
          </cell>
          <cell r="O39">
            <v>3.6364999999999998E-4</v>
          </cell>
          <cell r="P39">
            <v>3.3222900000000002E-4</v>
          </cell>
        </row>
        <row r="40">
          <cell r="A40" t="str">
            <v>CR.TRANSITION.CORP.OTHER.5-.10</v>
          </cell>
          <cell r="B40" t="str">
            <v>Probability of Non US/CAN/EUR corporate bonds migrate from ORR rating 5- to ORR rating 10; quarterly migration</v>
          </cell>
          <cell r="C40" t="str">
            <v>Credit Default/Migration Risk</v>
          </cell>
          <cell r="D40">
            <v>1</v>
          </cell>
          <cell r="E40" t="str">
            <v>N/A</v>
          </cell>
          <cell r="F40" t="str">
            <v>Decimal</v>
          </cell>
          <cell r="G40">
            <v>0</v>
          </cell>
          <cell r="H40">
            <v>1.0981820000000001E-3</v>
          </cell>
          <cell r="I40">
            <v>1.323287E-3</v>
          </cell>
          <cell r="J40">
            <v>2.2196469999999999E-3</v>
          </cell>
          <cell r="K40">
            <v>1.605305E-3</v>
          </cell>
          <cell r="L40">
            <v>1.5031370000000001E-3</v>
          </cell>
          <cell r="M40">
            <v>1.1497059999999999E-3</v>
          </cell>
          <cell r="N40">
            <v>1.0489690000000001E-3</v>
          </cell>
          <cell r="O40">
            <v>1.019959E-3</v>
          </cell>
          <cell r="P40">
            <v>9.3820500000000001E-4</v>
          </cell>
        </row>
        <row r="41">
          <cell r="A41" t="str">
            <v>CR.TRANSITION.CORP.OTHER.5.10</v>
          </cell>
          <cell r="B41" t="str">
            <v>Probability of Non US/CAN/EUR corporate bonds migrate from ORR rating 5 to ORR rating 10; quarterly migration</v>
          </cell>
          <cell r="C41" t="str">
            <v>Credit Default/Migration Risk</v>
          </cell>
          <cell r="D41">
            <v>1</v>
          </cell>
          <cell r="E41" t="str">
            <v>N/A</v>
          </cell>
          <cell r="F41" t="str">
            <v>Decimal</v>
          </cell>
          <cell r="G41">
            <v>0</v>
          </cell>
          <cell r="H41">
            <v>4.5495600000000001E-4</v>
          </cell>
          <cell r="I41">
            <v>5.5537900000000005E-4</v>
          </cell>
          <cell r="J41">
            <v>9.6799799999999997E-4</v>
          </cell>
          <cell r="K41">
            <v>6.8328900000000001E-4</v>
          </cell>
          <cell r="L41">
            <v>6.3663000000000001E-4</v>
          </cell>
          <cell r="M41">
            <v>4.7723399999999999E-4</v>
          </cell>
          <cell r="N41">
            <v>4.3252600000000003E-4</v>
          </cell>
          <cell r="O41">
            <v>4.1966200000000001E-4</v>
          </cell>
          <cell r="P41">
            <v>3.8375300000000002E-4</v>
          </cell>
        </row>
        <row r="42">
          <cell r="A42" t="str">
            <v>CR.TRANSITION.CORP.OTHER.6+.10</v>
          </cell>
          <cell r="B42" t="str">
            <v>Probability of Non US/CAN/EUR corporate bonds migrate from ORR rating 6+ to ORR rating 10; quarterly migration</v>
          </cell>
          <cell r="C42" t="str">
            <v>Credit Default/Migration Risk</v>
          </cell>
          <cell r="D42">
            <v>1</v>
          </cell>
          <cell r="E42" t="str">
            <v>N/A</v>
          </cell>
          <cell r="F42" t="str">
            <v>Decimal</v>
          </cell>
          <cell r="G42">
            <v>0</v>
          </cell>
          <cell r="H42">
            <v>1.5185579999999999E-3</v>
          </cell>
          <cell r="I42">
            <v>1.8206839999999999E-3</v>
          </cell>
          <cell r="J42">
            <v>3.0093199999999998E-3</v>
          </cell>
          <cell r="K42">
            <v>2.196791E-3</v>
          </cell>
          <cell r="L42">
            <v>2.060896E-3</v>
          </cell>
          <cell r="M42">
            <v>1.5885230000000001E-3</v>
          </cell>
          <cell r="N42">
            <v>1.453043E-3</v>
          </cell>
          <cell r="O42">
            <v>1.4140159999999999E-3</v>
          </cell>
          <cell r="P42">
            <v>1.3036289999999999E-3</v>
          </cell>
        </row>
        <row r="43">
          <cell r="A43" t="str">
            <v>CR.TRANSITION.CORP.OTHER.6-.10</v>
          </cell>
          <cell r="B43" t="str">
            <v>Probability of Non US/CAN/EUR corporate bonds migrate from ORR rating 6- to ORR rating 10; quarterly migration</v>
          </cell>
          <cell r="C43" t="str">
            <v>Credit Default/Migration Risk</v>
          </cell>
          <cell r="D43">
            <v>1</v>
          </cell>
          <cell r="E43" t="str">
            <v>N/A</v>
          </cell>
          <cell r="F43" t="str">
            <v>Decimal</v>
          </cell>
          <cell r="G43">
            <v>0</v>
          </cell>
          <cell r="H43">
            <v>4.4041250000000001E-3</v>
          </cell>
          <cell r="I43">
            <v>5.1887119999999998E-3</v>
          </cell>
          <cell r="J43">
            <v>8.1485110000000006E-3</v>
          </cell>
          <cell r="K43">
            <v>6.1439119999999996E-3</v>
          </cell>
          <cell r="L43">
            <v>5.8019350000000003E-3</v>
          </cell>
          <cell r="M43">
            <v>4.5930880000000004E-3</v>
          </cell>
          <cell r="N43">
            <v>4.2387379999999997E-3</v>
          </cell>
          <cell r="O43">
            <v>4.1365500000000001E-3</v>
          </cell>
          <cell r="P43">
            <v>3.8438029999999998E-3</v>
          </cell>
        </row>
        <row r="44">
          <cell r="A44" t="str">
            <v>CR.TRANSITION.CORP.OTHER.6.10</v>
          </cell>
          <cell r="B44" t="str">
            <v>Probability of Non US/CAN/EUR corporate bonds migrate from ORR rating 6 to ORR rating 10; quarterly migration</v>
          </cell>
          <cell r="C44" t="str">
            <v>Credit Default/Migration Risk</v>
          </cell>
          <cell r="D44">
            <v>1</v>
          </cell>
          <cell r="E44" t="str">
            <v>N/A</v>
          </cell>
          <cell r="F44" t="str">
            <v>Decimal</v>
          </cell>
          <cell r="G44">
            <v>0</v>
          </cell>
          <cell r="H44">
            <v>2.413611E-3</v>
          </cell>
          <cell r="I44">
            <v>2.8724470000000002E-3</v>
          </cell>
          <cell r="J44">
            <v>4.6457820000000002E-3</v>
          </cell>
          <cell r="K44">
            <v>3.438282E-3</v>
          </cell>
          <cell r="L44">
            <v>3.2346300000000001E-3</v>
          </cell>
          <cell r="M44">
            <v>2.521676E-3</v>
          </cell>
          <cell r="N44">
            <v>2.3153039999999998E-3</v>
          </cell>
          <cell r="O44">
            <v>2.2558280000000001E-3</v>
          </cell>
          <cell r="P44">
            <v>2.0866880000000002E-3</v>
          </cell>
        </row>
        <row r="45">
          <cell r="A45" t="str">
            <v>CR.TRANSITION.CORP.OTHER.7.10</v>
          </cell>
          <cell r="B45" t="str">
            <v>Probability of Non US/CAN/EUR corporate bonds migrate from ORR rating 7 to ORR rating 10; quarterly migration</v>
          </cell>
          <cell r="C45" t="str">
            <v>Credit Default/Migration Risk</v>
          </cell>
          <cell r="D45">
            <v>1</v>
          </cell>
          <cell r="E45" t="str">
            <v>N/A</v>
          </cell>
          <cell r="F45" t="str">
            <v>Decimal</v>
          </cell>
          <cell r="G45">
            <v>0</v>
          </cell>
          <cell r="H45">
            <v>1.2970714E-2</v>
          </cell>
          <cell r="I45">
            <v>1.4982476E-2</v>
          </cell>
          <cell r="J45">
            <v>2.2220417999999999E-2</v>
          </cell>
          <cell r="K45">
            <v>1.7370582999999998E-2</v>
          </cell>
          <cell r="L45">
            <v>1.6524371999999999E-2</v>
          </cell>
          <cell r="M45">
            <v>1.3475924E-2</v>
          </cell>
          <cell r="N45">
            <v>1.2559803E-2</v>
          </cell>
          <cell r="O45">
            <v>1.2295278E-2</v>
          </cell>
          <cell r="P45">
            <v>1.1526564E-2</v>
          </cell>
        </row>
        <row r="46">
          <cell r="A46" t="str">
            <v>CR.TRANSITION.CORP.OTHER.8_9.10</v>
          </cell>
          <cell r="B46" t="str">
            <v>Probability of Non US/CAN/EUR corporate bonds migrate from ORR rating 8_9 to ORR rating 10; quarterly migration</v>
          </cell>
          <cell r="C46" t="str">
            <v>Credit Default/Migration Risk</v>
          </cell>
          <cell r="D46">
            <v>1</v>
          </cell>
          <cell r="E46" t="str">
            <v>N/A</v>
          </cell>
          <cell r="F46" t="str">
            <v>Decimal</v>
          </cell>
          <cell r="G46">
            <v>0</v>
          </cell>
          <cell r="H46">
            <v>0.12847594600000001</v>
          </cell>
          <cell r="I46">
            <v>0.140768743</v>
          </cell>
          <cell r="J46">
            <v>0.179610831</v>
          </cell>
          <cell r="K46">
            <v>0.15437103099999999</v>
          </cell>
          <cell r="L46">
            <v>0.14968198599999999</v>
          </cell>
          <cell r="M46">
            <v>0.13189398199999999</v>
          </cell>
          <cell r="N46">
            <v>0.12616348099999999</v>
          </cell>
          <cell r="O46">
            <v>0.124501796</v>
          </cell>
          <cell r="P46">
            <v>0.11948724400000001</v>
          </cell>
        </row>
        <row r="47">
          <cell r="A47" t="str">
            <v>CR.TRANSITION.CORP.US_CAN.1.10</v>
          </cell>
          <cell r="B47" t="str">
            <v>Probability of US and CAN corporate bonds migrate from ORR rating 1 to ORR rating 10; quarterly migration</v>
          </cell>
          <cell r="C47" t="str">
            <v>Credit Default/Migration Risk</v>
          </cell>
          <cell r="D47">
            <v>1</v>
          </cell>
          <cell r="E47" t="str">
            <v>N/A</v>
          </cell>
          <cell r="F47" t="str">
            <v>Decimal</v>
          </cell>
          <cell r="G47">
            <v>0</v>
          </cell>
          <cell r="H47">
            <v>5.0206600000000001E-5</v>
          </cell>
          <cell r="I47">
            <v>7.2115599999999998E-5</v>
          </cell>
          <cell r="J47">
            <v>1.91425E-4</v>
          </cell>
          <cell r="K47">
            <v>7.3709399999999996E-5</v>
          </cell>
          <cell r="L47">
            <v>5.6441899999999999E-5</v>
          </cell>
          <cell r="M47">
            <v>2.0784600000000001E-5</v>
          </cell>
          <cell r="N47">
            <v>1.9917600000000001E-5</v>
          </cell>
          <cell r="O47">
            <v>1.7464200000000001E-5</v>
          </cell>
          <cell r="P47">
            <v>1.5065100000000001E-5</v>
          </cell>
        </row>
        <row r="48">
          <cell r="A48" t="str">
            <v>CR.TRANSITION.CORP.US_CAN.10.10</v>
          </cell>
          <cell r="B48" t="str">
            <v>Probability of US and CAN corporate bonds migrate from ORR rating 10 to ORR rating 10; quarterly migration</v>
          </cell>
          <cell r="C48" t="str">
            <v>Credit Default/Migration Risk</v>
          </cell>
          <cell r="D48">
            <v>1</v>
          </cell>
          <cell r="E48" t="str">
            <v>N/A</v>
          </cell>
          <cell r="F48" t="str">
            <v>Decimal</v>
          </cell>
          <cell r="G48">
            <v>0</v>
          </cell>
          <cell r="H48">
            <v>1</v>
          </cell>
          <cell r="I48">
            <v>1</v>
          </cell>
          <cell r="J48">
            <v>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</row>
        <row r="49">
          <cell r="A49" t="str">
            <v>CR.TRANSITION.CORP.US_CAN.2+.10</v>
          </cell>
          <cell r="B49" t="str">
            <v>Probability of US and CAN corporate bonds migrate from ORR rating 2+ to ORR rating 10; quarterly migration</v>
          </cell>
          <cell r="C49" t="str">
            <v>Credit Default/Migration Risk</v>
          </cell>
          <cell r="D49">
            <v>1</v>
          </cell>
          <cell r="E49" t="str">
            <v>N/A</v>
          </cell>
          <cell r="F49" t="str">
            <v>Decimal</v>
          </cell>
          <cell r="G49">
            <v>0</v>
          </cell>
          <cell r="H49">
            <v>8.1687599999999994E-5</v>
          </cell>
          <cell r="I49">
            <v>1.16228E-4</v>
          </cell>
          <cell r="J49">
            <v>3.0004599999999999E-4</v>
          </cell>
          <cell r="K49">
            <v>1.18732E-4</v>
          </cell>
          <cell r="L49">
            <v>9.1584599999999997E-5</v>
          </cell>
          <cell r="M49">
            <v>3.4594300000000002E-5</v>
          </cell>
          <cell r="N49">
            <v>3.3189299999999997E-5</v>
          </cell>
          <cell r="O49">
            <v>2.9199600000000001E-5</v>
          </cell>
          <cell r="P49">
            <v>2.5287699999999998E-5</v>
          </cell>
        </row>
        <row r="50">
          <cell r="A50" t="str">
            <v>CR.TRANSITION.CORP.US_CAN.2-.10</v>
          </cell>
          <cell r="B50" t="str">
            <v>Probability of US and CAN corporate bonds migrate from ORR rating 2- to ORR rating 10; quarterly migration</v>
          </cell>
          <cell r="C50" t="str">
            <v>Credit Default/Migration Risk</v>
          </cell>
          <cell r="D50">
            <v>1</v>
          </cell>
          <cell r="E50" t="str">
            <v>N/A</v>
          </cell>
          <cell r="F50" t="str">
            <v>Decimal</v>
          </cell>
          <cell r="G50">
            <v>0</v>
          </cell>
          <cell r="H50">
            <v>1.2000100000000001E-4</v>
          </cell>
          <cell r="I50">
            <v>1.69431E-4</v>
          </cell>
          <cell r="J50">
            <v>4.2764000000000002E-4</v>
          </cell>
          <cell r="K50">
            <v>1.73005E-4</v>
          </cell>
          <cell r="L50">
            <v>1.3424199999999999E-4</v>
          </cell>
          <cell r="M50">
            <v>5.17666E-5</v>
          </cell>
          <cell r="N50">
            <v>4.9710399999999998E-5</v>
          </cell>
          <cell r="O50">
            <v>4.3854399999999998E-5</v>
          </cell>
          <cell r="P50">
            <v>3.8099999999999998E-5</v>
          </cell>
        </row>
        <row r="51">
          <cell r="A51" t="str">
            <v>CR.TRANSITION.CORP.US_CAN.2.10</v>
          </cell>
          <cell r="B51" t="str">
            <v>Probability of US and CAN corporate bonds migrate from ORR rating 2 to ORR rating 10; quarterly migration</v>
          </cell>
          <cell r="C51" t="str">
            <v>Credit Default/Migration Risk</v>
          </cell>
          <cell r="D51">
            <v>1</v>
          </cell>
          <cell r="E51" t="str">
            <v>N/A</v>
          </cell>
          <cell r="F51" t="str">
            <v>Decimal</v>
          </cell>
          <cell r="G51">
            <v>0</v>
          </cell>
          <cell r="H51">
            <v>1.04134E-4</v>
          </cell>
          <cell r="I51">
            <v>1.4745000000000001E-4</v>
          </cell>
          <cell r="J51">
            <v>3.75289E-4</v>
          </cell>
          <cell r="K51">
            <v>1.5058500000000001E-4</v>
          </cell>
          <cell r="L51">
            <v>1.16588E-4</v>
          </cell>
          <cell r="M51">
            <v>4.4614699999999998E-5</v>
          </cell>
          <cell r="N51">
            <v>4.2827799999999997E-5</v>
          </cell>
          <cell r="O51">
            <v>3.7744199999999997E-5</v>
          </cell>
          <cell r="P51">
            <v>3.2753000000000003E-5</v>
          </cell>
        </row>
        <row r="52">
          <cell r="A52" t="str">
            <v>CR.TRANSITION.CORP.US_CAN.3+.10</v>
          </cell>
          <cell r="B52" t="str">
            <v>Probability of US and CAN corporate bonds migrate from ORR rating 3+ to ORR rating 10; quarterly migration</v>
          </cell>
          <cell r="C52" t="str">
            <v>Credit Default/Migration Risk</v>
          </cell>
          <cell r="D52">
            <v>1</v>
          </cell>
          <cell r="E52" t="str">
            <v>N/A</v>
          </cell>
          <cell r="F52" t="str">
            <v>Decimal</v>
          </cell>
          <cell r="G52">
            <v>0</v>
          </cell>
          <cell r="H52">
            <v>1.3826600000000001E-4</v>
          </cell>
          <cell r="I52">
            <v>1.9465500000000001E-4</v>
          </cell>
          <cell r="J52">
            <v>4.8717999999999998E-4</v>
          </cell>
          <cell r="K52">
            <v>1.98729E-4</v>
          </cell>
          <cell r="L52">
            <v>1.5454499999999999E-4</v>
          </cell>
          <cell r="M52">
            <v>6.0059599999999997E-5</v>
          </cell>
          <cell r="N52">
            <v>5.7694E-5</v>
          </cell>
          <cell r="O52">
            <v>5.0949599999999998E-5</v>
          </cell>
          <cell r="P52">
            <v>4.4316800000000002E-5</v>
          </cell>
        </row>
        <row r="53">
          <cell r="A53" t="str">
            <v>CR.TRANSITION.CORP.US_CAN.3-.10</v>
          </cell>
          <cell r="B53" t="str">
            <v>Probability of US and CAN corporate bonds migrate from ORR rating 3- to ORR rating 10; quarterly migration</v>
          </cell>
          <cell r="C53" t="str">
            <v>Credit Default/Migration Risk</v>
          </cell>
          <cell r="D53">
            <v>1</v>
          </cell>
          <cell r="E53" t="str">
            <v>N/A</v>
          </cell>
          <cell r="F53" t="str">
            <v>Decimal</v>
          </cell>
          <cell r="G53">
            <v>0</v>
          </cell>
          <cell r="H53">
            <v>1.8212600000000001E-4</v>
          </cell>
          <cell r="I53">
            <v>2.54944E-4</v>
          </cell>
          <cell r="J53">
            <v>6.2756200000000002E-4</v>
          </cell>
          <cell r="K53">
            <v>2.6019599999999997E-4</v>
          </cell>
          <cell r="L53">
            <v>2.0323199999999999E-4</v>
          </cell>
          <cell r="M53">
            <v>8.0197800000000007E-5</v>
          </cell>
          <cell r="N53">
            <v>7.7091700000000006E-5</v>
          </cell>
          <cell r="O53">
            <v>6.8217299999999995E-5</v>
          </cell>
          <cell r="P53">
            <v>5.9475000000000002E-5</v>
          </cell>
        </row>
        <row r="54">
          <cell r="A54" t="str">
            <v>CR.TRANSITION.CORP.US_CAN.3.10</v>
          </cell>
          <cell r="B54" t="str">
            <v>Probability of US and CAN corporate bonds migrate from ORR rating 3 to ORR rating 10; quarterly migration</v>
          </cell>
          <cell r="C54" t="str">
            <v>Credit Default/Migration Risk</v>
          </cell>
          <cell r="D54">
            <v>1</v>
          </cell>
          <cell r="E54" t="str">
            <v>N/A</v>
          </cell>
          <cell r="F54" t="str">
            <v>Decimal</v>
          </cell>
          <cell r="G54">
            <v>0</v>
          </cell>
          <cell r="H54">
            <v>1.5928599999999999E-4</v>
          </cell>
          <cell r="I54">
            <v>2.2359600000000001E-4</v>
          </cell>
          <cell r="J54">
            <v>5.5487699999999995E-4</v>
          </cell>
          <cell r="K54">
            <v>2.28237E-4</v>
          </cell>
          <cell r="L54">
            <v>1.7788999999999999E-4</v>
          </cell>
          <cell r="M54">
            <v>6.9674700000000006E-5</v>
          </cell>
          <cell r="N54">
            <v>6.6953799999999996E-5</v>
          </cell>
          <cell r="O54">
            <v>5.9188099999999997E-5</v>
          </cell>
          <cell r="P54">
            <v>5.15442E-5</v>
          </cell>
        </row>
        <row r="55">
          <cell r="A55" t="str">
            <v>CR.TRANSITION.CORP.US_CAN.4+.10</v>
          </cell>
          <cell r="B55" t="str">
            <v>Probability of US and CAN corporate bonds migrate from ORR rating 4+ to ORR rating 10; quarterly migration</v>
          </cell>
          <cell r="C55" t="str">
            <v>Credit Default/Migration Risk</v>
          </cell>
          <cell r="D55">
            <v>1</v>
          </cell>
          <cell r="E55" t="str">
            <v>N/A</v>
          </cell>
          <cell r="F55" t="str">
            <v>Decimal</v>
          </cell>
          <cell r="G55">
            <v>0</v>
          </cell>
          <cell r="H55">
            <v>2.08211E-4</v>
          </cell>
          <cell r="I55">
            <v>2.9064100000000001E-4</v>
          </cell>
          <cell r="J55">
            <v>7.0960999999999995E-4</v>
          </cell>
          <cell r="K55">
            <v>2.9657899999999999E-4</v>
          </cell>
          <cell r="L55">
            <v>2.3214899999999999E-4</v>
          </cell>
          <cell r="M55">
            <v>9.2302199999999999E-5</v>
          </cell>
          <cell r="N55">
            <v>8.8757099999999998E-5</v>
          </cell>
          <cell r="O55">
            <v>7.8617900000000005E-5</v>
          </cell>
          <cell r="P55">
            <v>6.8621400000000007E-5</v>
          </cell>
        </row>
        <row r="56">
          <cell r="A56" t="str">
            <v>CR.TRANSITION.CORP.US_CAN.4-.10</v>
          </cell>
          <cell r="B56" t="str">
            <v>Probability of US and CAN corporate bonds migrate from ORR rating 4- to ORR rating 10; quarterly migration</v>
          </cell>
          <cell r="C56" t="str">
            <v>Credit Default/Migration Risk</v>
          </cell>
          <cell r="D56">
            <v>1</v>
          </cell>
          <cell r="E56" t="str">
            <v>N/A</v>
          </cell>
          <cell r="F56" t="str">
            <v>Decimal</v>
          </cell>
          <cell r="G56">
            <v>0</v>
          </cell>
          <cell r="H56">
            <v>3.7111799999999998E-4</v>
          </cell>
          <cell r="I56">
            <v>5.1162899999999999E-4</v>
          </cell>
          <cell r="J56">
            <v>1.2048989999999999E-3</v>
          </cell>
          <cell r="K56">
            <v>5.2171200000000002E-4</v>
          </cell>
          <cell r="L56">
            <v>4.1227599999999999E-4</v>
          </cell>
          <cell r="M56">
            <v>1.6948899999999999E-4</v>
          </cell>
          <cell r="N56">
            <v>1.63222E-4</v>
          </cell>
          <cell r="O56">
            <v>1.45212E-4</v>
          </cell>
          <cell r="P56">
            <v>1.27389E-4</v>
          </cell>
        </row>
        <row r="57">
          <cell r="A57" t="str">
            <v>CR.TRANSITION.CORP.US_CAN.4.10</v>
          </cell>
          <cell r="B57" t="str">
            <v>Probability of US and CAN corporate bonds migrate from ORR rating 4 to ORR rating 10; quarterly migration</v>
          </cell>
          <cell r="C57" t="str">
            <v>Credit Default/Migration Risk</v>
          </cell>
          <cell r="D57">
            <v>1</v>
          </cell>
          <cell r="E57" t="str">
            <v>N/A</v>
          </cell>
          <cell r="F57" t="str">
            <v>Decimal</v>
          </cell>
          <cell r="G57">
            <v>0</v>
          </cell>
          <cell r="H57">
            <v>2.3799699999999999E-4</v>
          </cell>
          <cell r="I57">
            <v>3.3127900000000002E-4</v>
          </cell>
          <cell r="J57">
            <v>8.0220300000000003E-4</v>
          </cell>
          <cell r="K57">
            <v>3.3799399999999999E-4</v>
          </cell>
          <cell r="L57">
            <v>2.6514099999999999E-4</v>
          </cell>
          <cell r="M57">
            <v>1.06224E-4</v>
          </cell>
          <cell r="N57">
            <v>1.02179E-4</v>
          </cell>
          <cell r="O57">
            <v>9.0597099999999994E-5</v>
          </cell>
          <cell r="P57">
            <v>7.91686E-5</v>
          </cell>
        </row>
        <row r="58">
          <cell r="A58" t="str">
            <v>CR.TRANSITION.CORP.US_CAN.5+.10</v>
          </cell>
          <cell r="B58" t="str">
            <v>Probability of US and CAN corporate bonds migrate from ORR rating 5+ to ORR rating 10; quarterly migration</v>
          </cell>
          <cell r="C58" t="str">
            <v>Credit Default/Migration Risk</v>
          </cell>
          <cell r="D58">
            <v>1</v>
          </cell>
          <cell r="E58" t="str">
            <v>N/A</v>
          </cell>
          <cell r="F58" t="str">
            <v>Decimal</v>
          </cell>
          <cell r="G58">
            <v>0</v>
          </cell>
          <cell r="H58">
            <v>8.9205100000000004E-4</v>
          </cell>
          <cell r="I58">
            <v>1.205458E-3</v>
          </cell>
          <cell r="J58">
            <v>2.6803270000000001E-3</v>
          </cell>
          <cell r="K58">
            <v>1.227819E-3</v>
          </cell>
          <cell r="L58">
            <v>9.8510999999999998E-4</v>
          </cell>
          <cell r="M58">
            <v>4.2728699999999999E-4</v>
          </cell>
          <cell r="N58">
            <v>4.1246099999999998E-4</v>
          </cell>
          <cell r="O58">
            <v>3.6952799999999999E-4</v>
          </cell>
          <cell r="P58">
            <v>3.2678200000000002E-4</v>
          </cell>
        </row>
        <row r="59">
          <cell r="A59" t="str">
            <v>CR.TRANSITION.CORP.US_CAN.5-.10</v>
          </cell>
          <cell r="B59" t="str">
            <v>Probability of US and CAN corporate bonds migrate from ORR rating 5- to ORR rating 10; quarterly migration</v>
          </cell>
          <cell r="C59" t="str">
            <v>Credit Default/Migration Risk</v>
          </cell>
          <cell r="D59">
            <v>1</v>
          </cell>
          <cell r="E59" t="str">
            <v>N/A</v>
          </cell>
          <cell r="F59" t="str">
            <v>Decimal</v>
          </cell>
          <cell r="G59">
            <v>0</v>
          </cell>
          <cell r="H59">
            <v>2.3933829999999998E-3</v>
          </cell>
          <cell r="I59">
            <v>3.1565579999999998E-3</v>
          </cell>
          <cell r="J59">
            <v>6.5487510000000002E-3</v>
          </cell>
          <cell r="K59">
            <v>3.210671E-3</v>
          </cell>
          <cell r="L59">
            <v>2.6237119999999998E-3</v>
          </cell>
          <cell r="M59">
            <v>1.2147320000000001E-3</v>
          </cell>
          <cell r="N59">
            <v>1.1759279999999999E-3</v>
          </cell>
          <cell r="O59">
            <v>1.062491E-3</v>
          </cell>
          <cell r="P59">
            <v>9.4866799999999995E-4</v>
          </cell>
        </row>
        <row r="60">
          <cell r="A60" t="str">
            <v>CR.TRANSITION.CORP.US_CAN.5.10</v>
          </cell>
          <cell r="B60" t="str">
            <v>Probability of US and CAN corporate bonds migrate from ORR rating 5 to ORR rating 10; quarterly migration</v>
          </cell>
          <cell r="C60" t="str">
            <v>Credit Default/Migration Risk</v>
          </cell>
          <cell r="D60">
            <v>1</v>
          </cell>
          <cell r="E60" t="str">
            <v>N/A</v>
          </cell>
          <cell r="F60" t="str">
            <v>Decimal</v>
          </cell>
          <cell r="G60">
            <v>0</v>
          </cell>
          <cell r="H60">
            <v>1.023562E-3</v>
          </cell>
          <cell r="I60">
            <v>1.3786650000000001E-3</v>
          </cell>
          <cell r="J60">
            <v>3.0369479999999998E-3</v>
          </cell>
          <cell r="K60">
            <v>1.403978E-3</v>
          </cell>
          <cell r="L60">
            <v>1.129234E-3</v>
          </cell>
          <cell r="M60">
            <v>4.9410800000000005E-4</v>
          </cell>
          <cell r="N60">
            <v>4.7714600000000002E-4</v>
          </cell>
          <cell r="O60">
            <v>4.2796899999999999E-4</v>
          </cell>
          <cell r="P60">
            <v>3.7895399999999998E-4</v>
          </cell>
        </row>
        <row r="61">
          <cell r="A61" t="str">
            <v>CR.TRANSITION.CORP.US_CAN.6+.10</v>
          </cell>
          <cell r="B61" t="str">
            <v>Probability of US and CAN corporate bonds migrate from ORR rating 6+ to ORR rating 10; quarterly migration</v>
          </cell>
          <cell r="C61" t="str">
            <v>Credit Default/Migration Risk</v>
          </cell>
          <cell r="D61">
            <v>1</v>
          </cell>
          <cell r="E61" t="str">
            <v>N/A</v>
          </cell>
          <cell r="F61" t="str">
            <v>Decimal</v>
          </cell>
          <cell r="G61">
            <v>0</v>
          </cell>
          <cell r="H61">
            <v>3.2664E-3</v>
          </cell>
          <cell r="I61">
            <v>4.2730880000000004E-3</v>
          </cell>
          <cell r="J61">
            <v>8.6635150000000001E-3</v>
          </cell>
          <cell r="K61">
            <v>4.3443350000000004E-3</v>
          </cell>
          <cell r="L61">
            <v>3.5718690000000001E-3</v>
          </cell>
          <cell r="M61">
            <v>1.69017E-3</v>
          </cell>
          <cell r="N61">
            <v>1.6377259999999999E-3</v>
          </cell>
          <cell r="O61">
            <v>1.483921E-3</v>
          </cell>
          <cell r="P61">
            <v>1.3291830000000001E-3</v>
          </cell>
        </row>
        <row r="62">
          <cell r="A62" t="str">
            <v>CR.TRANSITION.CORP.US_CAN.6-.10</v>
          </cell>
          <cell r="B62" t="str">
            <v>Probability of US and CAN corporate bonds migrate from ORR rating 6- to ORR rating 10; quarterly migration</v>
          </cell>
          <cell r="C62" t="str">
            <v>Credit Default/Migration Risk</v>
          </cell>
          <cell r="D62">
            <v>1</v>
          </cell>
          <cell r="E62" t="str">
            <v>N/A</v>
          </cell>
          <cell r="F62" t="str">
            <v>Decimal</v>
          </cell>
          <cell r="G62">
            <v>0</v>
          </cell>
          <cell r="H62">
            <v>9.0151799999999994E-3</v>
          </cell>
          <cell r="I62">
            <v>1.1463599999999999E-2</v>
          </cell>
          <cell r="J62">
            <v>2.1458735999999999E-2</v>
          </cell>
          <cell r="K62">
            <v>1.1635926E-2</v>
          </cell>
          <cell r="L62">
            <v>9.7722280000000009E-3</v>
          </cell>
          <cell r="M62">
            <v>4.9903589999999998E-3</v>
          </cell>
          <cell r="N62">
            <v>4.8513899999999997E-3</v>
          </cell>
          <cell r="O62">
            <v>4.43918E-3</v>
          </cell>
          <cell r="P62">
            <v>4.0204949999999998E-3</v>
          </cell>
        </row>
        <row r="63">
          <cell r="A63" t="str">
            <v>CR.TRANSITION.CORP.US_CAN.6.10</v>
          </cell>
          <cell r="B63" t="str">
            <v>Probability of US and CAN corporate bonds migrate from ORR rating 6 to ORR rating 10; quarterly migration</v>
          </cell>
          <cell r="C63" t="str">
            <v>Credit Default/Migration Risk</v>
          </cell>
          <cell r="D63">
            <v>1</v>
          </cell>
          <cell r="E63" t="str">
            <v>N/A</v>
          </cell>
          <cell r="F63" t="str">
            <v>Decimal</v>
          </cell>
          <cell r="G63">
            <v>0</v>
          </cell>
          <cell r="H63">
            <v>5.0874479999999996E-3</v>
          </cell>
          <cell r="I63">
            <v>6.5758860000000004E-3</v>
          </cell>
          <cell r="J63">
            <v>1.2888012000000001E-2</v>
          </cell>
          <cell r="K63">
            <v>6.6809620000000004E-3</v>
          </cell>
          <cell r="L63">
            <v>5.542712E-3</v>
          </cell>
          <cell r="M63">
            <v>2.7087330000000001E-3</v>
          </cell>
          <cell r="N63">
            <v>2.6283399999999998E-3</v>
          </cell>
          <cell r="O63">
            <v>2.3914409999999998E-3</v>
          </cell>
          <cell r="P63">
            <v>2.152153E-3</v>
          </cell>
        </row>
        <row r="64">
          <cell r="A64" t="str">
            <v>CR.TRANSITION.CORP.US_CAN.7.10</v>
          </cell>
          <cell r="B64" t="str">
            <v>Probability of US and CAN corporate bonds migrate from ORR rating 7 to ORR rating 10; quarterly migration</v>
          </cell>
          <cell r="C64" t="str">
            <v>Credit Default/Migration Risk</v>
          </cell>
          <cell r="D64">
            <v>1</v>
          </cell>
          <cell r="E64" t="str">
            <v>N/A</v>
          </cell>
          <cell r="F64" t="str">
            <v>Decimal</v>
          </cell>
          <cell r="G64">
            <v>0</v>
          </cell>
          <cell r="H64">
            <v>2.4934583999999999E-2</v>
          </cell>
          <cell r="I64">
            <v>3.0708470000000002E-2</v>
          </cell>
          <cell r="J64">
            <v>5.2587728E-2</v>
          </cell>
          <cell r="K64">
            <v>3.1113066000000002E-2</v>
          </cell>
          <cell r="L64">
            <v>2.6758163000000001E-2</v>
          </cell>
          <cell r="M64">
            <v>1.4892532999999999E-2</v>
          </cell>
          <cell r="N64">
            <v>1.4530835000000001E-2</v>
          </cell>
          <cell r="O64">
            <v>1.3443816000000001E-2</v>
          </cell>
          <cell r="P64">
            <v>1.2327151999999999E-2</v>
          </cell>
        </row>
        <row r="65">
          <cell r="A65" t="str">
            <v>CR.TRANSITION.CORP.US_CAN.8_9.10</v>
          </cell>
          <cell r="B65" t="str">
            <v>Probability of US and CAN corporate bonds migrate from ORR rating 8_9 to ORR rating 10; quarterly migration</v>
          </cell>
          <cell r="C65" t="str">
            <v>Credit Default/Migration Risk</v>
          </cell>
          <cell r="D65">
            <v>1</v>
          </cell>
          <cell r="E65" t="str">
            <v>N/A</v>
          </cell>
          <cell r="F65" t="str">
            <v>Decimal</v>
          </cell>
          <cell r="G65">
            <v>0</v>
          </cell>
          <cell r="H65">
            <v>0.201624414</v>
          </cell>
          <cell r="I65">
            <v>0.22818026999999999</v>
          </cell>
          <cell r="J65">
            <v>0.310372539</v>
          </cell>
          <cell r="K65">
            <v>0.23003812200000001</v>
          </cell>
          <cell r="L65">
            <v>0.21051690300000001</v>
          </cell>
          <cell r="M65">
            <v>0.14733019</v>
          </cell>
          <cell r="N65">
            <v>0.14513082499999999</v>
          </cell>
          <cell r="O65">
            <v>0.138269683</v>
          </cell>
          <cell r="P65">
            <v>0.130978384</v>
          </cell>
        </row>
        <row r="66">
          <cell r="A66" t="str">
            <v>CR.USD.CORP.ALLSEC.A.SPRD.PAR#10Y</v>
          </cell>
          <cell r="B66" t="str">
            <v>UNITED STATES CORP ALLSECTOR A 10Y PAR SPREAD OVER GOVT</v>
          </cell>
          <cell r="C66" t="str">
            <v>Credit Spread Risk</v>
          </cell>
          <cell r="D66">
            <v>1</v>
          </cell>
          <cell r="E66" t="str">
            <v>N/A</v>
          </cell>
          <cell r="F66" t="str">
            <v>Decimal</v>
          </cell>
          <cell r="G66">
            <v>1.06096E-2</v>
          </cell>
          <cell r="H66">
            <v>1.0868859999999999E-2</v>
          </cell>
          <cell r="I66">
            <v>3.0034890000000002E-2</v>
          </cell>
          <cell r="J66">
            <v>2.6994000000000001E-2</v>
          </cell>
          <cell r="K66">
            <v>2.6295659999999998E-2</v>
          </cell>
          <cell r="L66">
            <v>2.4904550000000001E-2</v>
          </cell>
          <cell r="M66">
            <v>2.369566E-2</v>
          </cell>
          <cell r="N66">
            <v>2.2192380000000001E-2</v>
          </cell>
          <cell r="O66">
            <v>1.8275179999999999E-2</v>
          </cell>
          <cell r="P66">
            <v>1.7984630000000001E-2</v>
          </cell>
        </row>
        <row r="67">
          <cell r="A67" t="str">
            <v>CR.USD.CORP.ALLSEC.A.SPRD.PAR#15Y</v>
          </cell>
          <cell r="B67" t="str">
            <v>UNITED STATES CORP ALLSECTOR A 15Y PAR SPREAD OVER GOVT</v>
          </cell>
          <cell r="C67" t="str">
            <v>Credit Spread Risk</v>
          </cell>
          <cell r="D67">
            <v>1</v>
          </cell>
          <cell r="E67" t="str">
            <v>N/A</v>
          </cell>
          <cell r="F67" t="str">
            <v>Decimal</v>
          </cell>
          <cell r="G67">
            <v>1.226944E-2</v>
          </cell>
          <cell r="H67">
            <v>1.242481E-2</v>
          </cell>
          <cell r="I67">
            <v>3.0366460000000001E-2</v>
          </cell>
          <cell r="J67">
            <v>2.7575390000000002E-2</v>
          </cell>
          <cell r="K67">
            <v>2.6468660000000001E-2</v>
          </cell>
          <cell r="L67">
            <v>2.491092E-2</v>
          </cell>
          <cell r="M67">
            <v>2.3523479999999999E-2</v>
          </cell>
          <cell r="N67">
            <v>2.200218E-2</v>
          </cell>
          <cell r="O67">
            <v>1.8904049999999999E-2</v>
          </cell>
          <cell r="P67">
            <v>1.8338839999999999E-2</v>
          </cell>
        </row>
        <row r="68">
          <cell r="A68" t="str">
            <v>CR.USD.CORP.ALLSEC.A.SPRD.PAR#20Y</v>
          </cell>
          <cell r="B68" t="str">
            <v>UNITED STATES CORP ALLSECTOR A 20Y PAR SPREAD OVER GOVT</v>
          </cell>
          <cell r="C68" t="str">
            <v>Credit Spread Risk</v>
          </cell>
          <cell r="D68">
            <v>1</v>
          </cell>
          <cell r="E68" t="str">
            <v>N/A</v>
          </cell>
          <cell r="F68" t="str">
            <v>Decimal</v>
          </cell>
          <cell r="G68">
            <v>1.242804E-2</v>
          </cell>
          <cell r="H68">
            <v>1.2512540000000001E-2</v>
          </cell>
          <cell r="I68">
            <v>2.9596799999999999E-2</v>
          </cell>
          <cell r="J68">
            <v>2.6652769999999999E-2</v>
          </cell>
          <cell r="K68">
            <v>2.5333399999999999E-2</v>
          </cell>
          <cell r="L68">
            <v>2.3696720000000001E-2</v>
          </cell>
          <cell r="M68">
            <v>2.2249769999999999E-2</v>
          </cell>
          <cell r="N68">
            <v>2.0737849999999999E-2</v>
          </cell>
          <cell r="O68">
            <v>1.790578E-2</v>
          </cell>
          <cell r="P68">
            <v>1.7331039999999999E-2</v>
          </cell>
        </row>
        <row r="69">
          <cell r="A69" t="str">
            <v>CR.USD.CORP.ALLSEC.A.SPRD.PAR#2Y</v>
          </cell>
          <cell r="B69" t="str">
            <v>UNITED STATES CORP ALLSECTOR A 2Y PAR SPREAD OVER GOVT</v>
          </cell>
          <cell r="C69" t="str">
            <v>Credit Spread Risk</v>
          </cell>
          <cell r="D69">
            <v>1</v>
          </cell>
          <cell r="E69" t="str">
            <v>N/A</v>
          </cell>
          <cell r="F69" t="str">
            <v>Decimal</v>
          </cell>
          <cell r="G69">
            <v>5.1846499999999998E-3</v>
          </cell>
          <cell r="H69">
            <v>5.5176499999999998E-3</v>
          </cell>
          <cell r="I69">
            <v>2.6196290000000001E-2</v>
          </cell>
          <cell r="J69">
            <v>2.2805499999999999E-2</v>
          </cell>
          <cell r="K69">
            <v>2.2380009999999999E-2</v>
          </cell>
          <cell r="L69">
            <v>2.081332E-2</v>
          </cell>
          <cell r="M69">
            <v>1.9666679999999999E-2</v>
          </cell>
          <cell r="N69">
            <v>1.8443629999999999E-2</v>
          </cell>
          <cell r="O69">
            <v>1.4788809999999999E-2</v>
          </cell>
          <cell r="P69">
            <v>1.454019E-2</v>
          </cell>
        </row>
        <row r="70">
          <cell r="A70" t="str">
            <v>CR.USD.CORP.ALLSEC.A.SPRD.PAR#30Y</v>
          </cell>
          <cell r="B70" t="str">
            <v>UNITED STATES CORP ALLSECTOR A 30Y PAR SPREAD OVER GOVT</v>
          </cell>
          <cell r="C70" t="str">
            <v>Credit Spread Risk</v>
          </cell>
          <cell r="D70">
            <v>1</v>
          </cell>
          <cell r="E70" t="str">
            <v>N/A</v>
          </cell>
          <cell r="F70" t="str">
            <v>Decimal</v>
          </cell>
          <cell r="G70">
            <v>1.2799949999999999E-2</v>
          </cell>
          <cell r="H70">
            <v>1.2885519999999999E-2</v>
          </cell>
          <cell r="I70">
            <v>2.9612240000000001E-2</v>
          </cell>
          <cell r="J70">
            <v>2.698557E-2</v>
          </cell>
          <cell r="K70">
            <v>2.5971290000000001E-2</v>
          </cell>
          <cell r="L70">
            <v>2.4625230000000001E-2</v>
          </cell>
          <cell r="M70">
            <v>2.3427400000000001E-2</v>
          </cell>
          <cell r="N70">
            <v>2.212737E-2</v>
          </cell>
          <cell r="O70">
            <v>1.9288920000000001E-2</v>
          </cell>
          <cell r="P70">
            <v>1.8676459999999999E-2</v>
          </cell>
        </row>
        <row r="71">
          <cell r="A71" t="str">
            <v>CR.USD.CORP.ALLSEC.A.SPRD.PAR#3Y</v>
          </cell>
          <cell r="B71" t="str">
            <v>UNITED STATES CORP ALLSECTOR A 3Y PAR SPREAD OVER GOVT</v>
          </cell>
          <cell r="C71" t="str">
            <v>Credit Spread Risk</v>
          </cell>
          <cell r="D71">
            <v>1</v>
          </cell>
          <cell r="E71" t="str">
            <v>N/A</v>
          </cell>
          <cell r="F71" t="str">
            <v>Decimal</v>
          </cell>
          <cell r="G71">
            <v>6.2010600000000004E-3</v>
          </cell>
          <cell r="H71">
            <v>6.68193E-3</v>
          </cell>
          <cell r="I71">
            <v>2.7462919999999998E-2</v>
          </cell>
          <cell r="J71">
            <v>2.4255639999999998E-2</v>
          </cell>
          <cell r="K71">
            <v>2.3934839999999999E-2</v>
          </cell>
          <cell r="L71">
            <v>2.2102819999999999E-2</v>
          </cell>
          <cell r="M71">
            <v>2.0582110000000001E-2</v>
          </cell>
          <cell r="N71">
            <v>1.8829410000000001E-2</v>
          </cell>
          <cell r="O71">
            <v>1.4499450000000001E-2</v>
          </cell>
          <cell r="P71">
            <v>1.427576E-2</v>
          </cell>
        </row>
        <row r="72">
          <cell r="A72" t="str">
            <v>CR.USD.CORP.ALLSEC.A.SPRD.PAR#5Y</v>
          </cell>
          <cell r="B72" t="str">
            <v>UNITED STATES CORP ALLSECTOR A 5Y PAR SPREAD OVER GOVT</v>
          </cell>
          <cell r="C72" t="str">
            <v>Credit Spread Risk</v>
          </cell>
          <cell r="D72">
            <v>1</v>
          </cell>
          <cell r="E72" t="str">
            <v>N/A</v>
          </cell>
          <cell r="F72" t="str">
            <v>Decimal</v>
          </cell>
          <cell r="G72">
            <v>7.8787200000000005E-3</v>
          </cell>
          <cell r="H72">
            <v>8.1283699999999993E-3</v>
          </cell>
          <cell r="I72">
            <v>2.8504479999999999E-2</v>
          </cell>
          <cell r="J72">
            <v>2.499471E-2</v>
          </cell>
          <cell r="K72">
            <v>2.4247620000000001E-2</v>
          </cell>
          <cell r="L72">
            <v>2.2655979999999999E-2</v>
          </cell>
          <cell r="M72">
            <v>2.134832E-2</v>
          </cell>
          <cell r="N72">
            <v>1.9785150000000001E-2</v>
          </cell>
          <cell r="O72">
            <v>1.5634749999999999E-2</v>
          </cell>
          <cell r="P72">
            <v>1.5386520000000001E-2</v>
          </cell>
        </row>
        <row r="73">
          <cell r="A73" t="str">
            <v>CR.USD.CORP.ALLSEC.A.SPRD.PAR#7Y</v>
          </cell>
          <cell r="B73" t="str">
            <v>UNITED STATES CORP ALLSECTOR A 7Y PAR SPREAD OVER GOVT</v>
          </cell>
          <cell r="C73" t="str">
            <v>Credit Spread Risk</v>
          </cell>
          <cell r="D73">
            <v>1</v>
          </cell>
          <cell r="E73" t="str">
            <v>N/A</v>
          </cell>
          <cell r="F73" t="str">
            <v>Decimal</v>
          </cell>
          <cell r="G73">
            <v>9.1479000000000005E-3</v>
          </cell>
          <cell r="H73">
            <v>9.3697699999999995E-3</v>
          </cell>
          <cell r="I73">
            <v>2.92082E-2</v>
          </cell>
          <cell r="J73">
            <v>2.589808E-2</v>
          </cell>
          <cell r="K73">
            <v>2.517842E-2</v>
          </cell>
          <cell r="L73">
            <v>2.3690699999999999E-2</v>
          </cell>
          <cell r="M73">
            <v>2.2438739999999999E-2</v>
          </cell>
          <cell r="N73">
            <v>2.0898469999999999E-2</v>
          </cell>
          <cell r="O73">
            <v>1.6816319999999999E-2</v>
          </cell>
          <cell r="P73">
            <v>1.6643990000000001E-2</v>
          </cell>
        </row>
        <row r="74">
          <cell r="A74" t="str">
            <v>CR.USD.CORP.ALLSEC.A.SPRD.SIMPLE#12M</v>
          </cell>
          <cell r="B74" t="str">
            <v>UNITED STATES CORP ALLSECTOR A 12M SIMPLE SPREAD OVER GOVT</v>
          </cell>
          <cell r="C74" t="str">
            <v>Credit Spread Risk</v>
          </cell>
          <cell r="D74">
            <v>1</v>
          </cell>
          <cell r="E74" t="str">
            <v>N/A</v>
          </cell>
          <cell r="F74" t="str">
            <v>Decimal</v>
          </cell>
          <cell r="G74">
            <v>4.17512E-3</v>
          </cell>
          <cell r="H74">
            <v>4.9183400000000002E-3</v>
          </cell>
          <cell r="I74">
            <v>2.5406789999999999E-2</v>
          </cell>
          <cell r="J74">
            <v>2.179911E-2</v>
          </cell>
          <cell r="K74">
            <v>2.0956869999999999E-2</v>
          </cell>
          <cell r="L74">
            <v>1.899371E-2</v>
          </cell>
          <cell r="M74">
            <v>1.7561259999999999E-2</v>
          </cell>
          <cell r="N74">
            <v>1.6246699999999999E-2</v>
          </cell>
          <cell r="O74">
            <v>1.2723140000000001E-2</v>
          </cell>
          <cell r="P74">
            <v>1.3096419999999999E-2</v>
          </cell>
        </row>
        <row r="75">
          <cell r="A75" t="str">
            <v>CR.USD.CORP.ALLSEC.A.SPRD.SIMPLE#1M</v>
          </cell>
          <cell r="B75" t="str">
            <v>UNITED STATES CORP ALLSECTOR A 1M SIMPLE SPREAD OVER GOVT</v>
          </cell>
          <cell r="C75" t="str">
            <v>Credit Spread Risk</v>
          </cell>
          <cell r="D75">
            <v>1</v>
          </cell>
          <cell r="E75" t="str">
            <v>N/A</v>
          </cell>
          <cell r="F75" t="str">
            <v>Decimal</v>
          </cell>
          <cell r="G75">
            <v>4.0235100000000001E-3</v>
          </cell>
          <cell r="H75">
            <v>4.15644E-3</v>
          </cell>
          <cell r="I75">
            <v>2.4517440000000001E-2</v>
          </cell>
          <cell r="J75">
            <v>2.0475440000000001E-2</v>
          </cell>
          <cell r="K75">
            <v>2.2035099999999998E-2</v>
          </cell>
          <cell r="L75">
            <v>1.9633479999999998E-2</v>
          </cell>
          <cell r="M75">
            <v>1.6994510000000001E-2</v>
          </cell>
          <cell r="N75">
            <v>1.460473E-2</v>
          </cell>
          <cell r="O75">
            <v>1.096667E-2</v>
          </cell>
          <cell r="P75">
            <v>1.146896E-2</v>
          </cell>
        </row>
        <row r="76">
          <cell r="A76" t="str">
            <v>CR.USD.CORP.ALLSEC.A.SPRD.SIMPLE#3M</v>
          </cell>
          <cell r="B76" t="str">
            <v>UNITED STATES CORP ALLSECTOR A 3M SIMPLE SPREAD OVER GOVT</v>
          </cell>
          <cell r="C76" t="str">
            <v>Credit Spread Risk</v>
          </cell>
          <cell r="D76">
            <v>1</v>
          </cell>
          <cell r="E76" t="str">
            <v>N/A</v>
          </cell>
          <cell r="F76" t="str">
            <v>Decimal</v>
          </cell>
          <cell r="G76">
            <v>3.9718599999999998E-3</v>
          </cell>
          <cell r="H76">
            <v>4.18783E-3</v>
          </cell>
          <cell r="I76">
            <v>2.4527480000000001E-2</v>
          </cell>
          <cell r="J76">
            <v>2.0090480000000001E-2</v>
          </cell>
          <cell r="K76">
            <v>2.1869E-2</v>
          </cell>
          <cell r="L76">
            <v>1.9280490000000001E-2</v>
          </cell>
          <cell r="M76">
            <v>1.685298E-2</v>
          </cell>
          <cell r="N76">
            <v>1.454775E-2</v>
          </cell>
          <cell r="O76">
            <v>1.117891E-2</v>
          </cell>
          <cell r="P76">
            <v>1.148659E-2</v>
          </cell>
        </row>
        <row r="77">
          <cell r="A77" t="str">
            <v>CR.USD.CORP.ALLSEC.A.SPRD.SIMPLE#6M</v>
          </cell>
          <cell r="B77" t="str">
            <v>UNITED STATES CORP ALLSECTOR A 6M SIMPLE SPREAD OVER GOVT</v>
          </cell>
          <cell r="C77" t="str">
            <v>Credit Spread Risk</v>
          </cell>
          <cell r="D77">
            <v>1</v>
          </cell>
          <cell r="E77" t="str">
            <v>N/A</v>
          </cell>
          <cell r="F77" t="str">
            <v>Decimal</v>
          </cell>
          <cell r="G77">
            <v>4.0861999999999999E-3</v>
          </cell>
          <cell r="H77">
            <v>4.3734400000000001E-3</v>
          </cell>
          <cell r="I77">
            <v>2.4235090000000001E-2</v>
          </cell>
          <cell r="J77">
            <v>2.1580729999999999E-2</v>
          </cell>
          <cell r="K77">
            <v>2.1533320000000002E-2</v>
          </cell>
          <cell r="L77">
            <v>1.892421E-2</v>
          </cell>
          <cell r="M77">
            <v>1.6750979999999999E-2</v>
          </cell>
          <cell r="N77">
            <v>1.523234E-2</v>
          </cell>
          <cell r="O77">
            <v>1.1546209999999999E-2</v>
          </cell>
          <cell r="P77">
            <v>1.2106860000000001E-2</v>
          </cell>
        </row>
        <row r="78">
          <cell r="A78" t="str">
            <v>CR.USD.CORP.ALLSEC.AA.SPRD.PAR#10Y</v>
          </cell>
          <cell r="B78" t="str">
            <v>UNITED STATES CORP ALLSECTOR AA 10Y PAR SPREAD OVER GOVT</v>
          </cell>
          <cell r="C78" t="str">
            <v>Credit Spread Risk</v>
          </cell>
          <cell r="D78">
            <v>1</v>
          </cell>
          <cell r="E78" t="str">
            <v>N/A</v>
          </cell>
          <cell r="F78" t="str">
            <v>Decimal</v>
          </cell>
          <cell r="G78">
            <v>7.9001100000000001E-3</v>
          </cell>
          <cell r="H78">
            <v>8.1915200000000007E-3</v>
          </cell>
          <cell r="I78">
            <v>2.1231429999999999E-2</v>
          </cell>
          <cell r="J78">
            <v>1.9468360000000001E-2</v>
          </cell>
          <cell r="K78">
            <v>1.8992060000000002E-2</v>
          </cell>
          <cell r="L78">
            <v>1.8185059999999999E-2</v>
          </cell>
          <cell r="M78">
            <v>1.7542100000000001E-2</v>
          </cell>
          <cell r="N78">
            <v>1.6800019999999999E-2</v>
          </cell>
          <cell r="O78">
            <v>1.473178E-2</v>
          </cell>
          <cell r="P78">
            <v>1.4602530000000001E-2</v>
          </cell>
        </row>
        <row r="79">
          <cell r="A79" t="str">
            <v>CR.USD.CORP.ALLSEC.AA.SPRD.PAR#15Y</v>
          </cell>
          <cell r="B79" t="str">
            <v>UNITED STATES CORP ALLSECTOR AA 15Y PAR SPREAD OVER GOVT</v>
          </cell>
          <cell r="C79" t="str">
            <v>Credit Spread Risk</v>
          </cell>
          <cell r="D79">
            <v>1</v>
          </cell>
          <cell r="E79" t="str">
            <v>N/A</v>
          </cell>
          <cell r="F79" t="str">
            <v>Decimal</v>
          </cell>
          <cell r="G79">
            <v>1.0101590000000001E-2</v>
          </cell>
          <cell r="H79">
            <v>1.0290199999999999E-2</v>
          </cell>
          <cell r="I79">
            <v>2.2871329999999999E-2</v>
          </cell>
          <cell r="J79">
            <v>2.1242529999999999E-2</v>
          </cell>
          <cell r="K79">
            <v>2.036572E-2</v>
          </cell>
          <cell r="L79">
            <v>1.9333860000000001E-2</v>
          </cell>
          <cell r="M79">
            <v>1.84537E-2</v>
          </cell>
          <cell r="N79">
            <v>1.7596509999999999E-2</v>
          </cell>
          <cell r="O79">
            <v>1.604945E-2</v>
          </cell>
          <cell r="P79">
            <v>1.5612869999999999E-2</v>
          </cell>
        </row>
        <row r="80">
          <cell r="A80" t="str">
            <v>CR.USD.CORP.ALLSEC.AA.SPRD.PAR#20Y</v>
          </cell>
          <cell r="B80" t="str">
            <v>UNITED STATES CORP ALLSECTOR AA 20Y PAR SPREAD OVER GOVT</v>
          </cell>
          <cell r="C80" t="str">
            <v>Credit Spread Risk</v>
          </cell>
          <cell r="D80">
            <v>1</v>
          </cell>
          <cell r="E80" t="str">
            <v>N/A</v>
          </cell>
          <cell r="F80" t="str">
            <v>Decimal</v>
          </cell>
          <cell r="G80">
            <v>1.054048E-2</v>
          </cell>
          <cell r="H80">
            <v>1.0661179999999999E-2</v>
          </cell>
          <cell r="I80">
            <v>2.291955E-2</v>
          </cell>
          <cell r="J80">
            <v>2.1095880000000001E-2</v>
          </cell>
          <cell r="K80">
            <v>1.9961050000000001E-2</v>
          </cell>
          <cell r="L80">
            <v>1.8804040000000001E-2</v>
          </cell>
          <cell r="M80">
            <v>1.7825420000000002E-2</v>
          </cell>
          <cell r="N80">
            <v>1.6940819999999999E-2</v>
          </cell>
          <cell r="O80">
            <v>1.560477E-2</v>
          </cell>
          <cell r="P80">
            <v>1.510674E-2</v>
          </cell>
        </row>
        <row r="81">
          <cell r="A81" t="str">
            <v>CR.USD.CORP.ALLSEC.AA.SPRD.PAR#2Y</v>
          </cell>
          <cell r="B81" t="str">
            <v>UNITED STATES CORP ALLSECTOR AA 2Y PAR SPREAD OVER GOVT</v>
          </cell>
          <cell r="C81" t="str">
            <v>Credit Spread Risk</v>
          </cell>
          <cell r="D81">
            <v>1</v>
          </cell>
          <cell r="E81" t="str">
            <v>N/A</v>
          </cell>
          <cell r="F81" t="str">
            <v>Decimal</v>
          </cell>
          <cell r="G81">
            <v>1.59041E-3</v>
          </cell>
          <cell r="H81">
            <v>1.62969E-3</v>
          </cell>
          <cell r="I81">
            <v>1.406659E-2</v>
          </cell>
          <cell r="J81">
            <v>1.1872489999999999E-2</v>
          </cell>
          <cell r="K81">
            <v>1.144153E-2</v>
          </cell>
          <cell r="L81">
            <v>1.053425E-2</v>
          </cell>
          <cell r="M81">
            <v>1.0041960000000001E-2</v>
          </cell>
          <cell r="N81">
            <v>9.7291700000000005E-3</v>
          </cell>
          <cell r="O81">
            <v>8.2554900000000007E-3</v>
          </cell>
          <cell r="P81">
            <v>8.3074199999999994E-3</v>
          </cell>
        </row>
        <row r="82">
          <cell r="A82" t="str">
            <v>CR.USD.CORP.ALLSEC.AA.SPRD.PAR#30Y</v>
          </cell>
          <cell r="B82" t="str">
            <v>UNITED STATES CORP ALLSECTOR AA 30Y PAR SPREAD OVER GOVT</v>
          </cell>
          <cell r="C82" t="str">
            <v>Credit Spread Risk</v>
          </cell>
          <cell r="D82">
            <v>1</v>
          </cell>
          <cell r="E82" t="str">
            <v>N/A</v>
          </cell>
          <cell r="F82" t="str">
            <v>Decimal</v>
          </cell>
          <cell r="G82">
            <v>1.1296280000000001E-2</v>
          </cell>
          <cell r="H82">
            <v>1.142234E-2</v>
          </cell>
          <cell r="I82">
            <v>2.37897E-2</v>
          </cell>
          <cell r="J82">
            <v>2.2213960000000001E-2</v>
          </cell>
          <cell r="K82">
            <v>2.1371270000000001E-2</v>
          </cell>
          <cell r="L82">
            <v>2.046241E-2</v>
          </cell>
          <cell r="M82">
            <v>1.96951E-2</v>
          </cell>
          <cell r="N82">
            <v>1.8968479999999999E-2</v>
          </cell>
          <cell r="O82">
            <v>1.7470260000000001E-2</v>
          </cell>
          <cell r="P82">
            <v>1.6912300000000002E-2</v>
          </cell>
        </row>
        <row r="83">
          <cell r="A83" t="str">
            <v>CR.USD.CORP.ALLSEC.AA.SPRD.PAR#3Y</v>
          </cell>
          <cell r="B83" t="str">
            <v>UNITED STATES CORP ALLSECTOR AA 3Y PAR SPREAD OVER GOVT</v>
          </cell>
          <cell r="C83" t="str">
            <v>Credit Spread Risk</v>
          </cell>
          <cell r="D83">
            <v>1</v>
          </cell>
          <cell r="E83" t="str">
            <v>N/A</v>
          </cell>
          <cell r="F83" t="str">
            <v>Decimal</v>
          </cell>
          <cell r="G83">
            <v>2.15445E-3</v>
          </cell>
          <cell r="H83">
            <v>2.48344E-3</v>
          </cell>
          <cell r="I83">
            <v>1.5208859999999999E-2</v>
          </cell>
          <cell r="J83">
            <v>1.338372E-2</v>
          </cell>
          <cell r="K83">
            <v>1.327968E-2</v>
          </cell>
          <cell r="L83">
            <v>1.2182729999999999E-2</v>
          </cell>
          <cell r="M83">
            <v>1.137269E-2</v>
          </cell>
          <cell r="N83">
            <v>1.056908E-2</v>
          </cell>
          <cell r="O83">
            <v>8.4419899999999999E-3</v>
          </cell>
          <cell r="P83">
            <v>8.5331499999999998E-3</v>
          </cell>
        </row>
        <row r="84">
          <cell r="A84" t="str">
            <v>CR.USD.CORP.ALLSEC.AA.SPRD.PAR#5Y</v>
          </cell>
          <cell r="B84" t="str">
            <v>UNITED STATES CORP ALLSECTOR AA 5Y PAR SPREAD OVER GOVT</v>
          </cell>
          <cell r="C84" t="str">
            <v>Credit Spread Risk</v>
          </cell>
          <cell r="D84">
            <v>1</v>
          </cell>
          <cell r="E84" t="str">
            <v>N/A</v>
          </cell>
          <cell r="F84" t="str">
            <v>Decimal</v>
          </cell>
          <cell r="G84">
            <v>4.0128100000000003E-3</v>
          </cell>
          <cell r="H84">
            <v>4.2551100000000003E-3</v>
          </cell>
          <cell r="I84">
            <v>1.6765789999999999E-2</v>
          </cell>
          <cell r="J84">
            <v>1.4782719999999999E-2</v>
          </cell>
          <cell r="K84">
            <v>1.4407059999999999E-2</v>
          </cell>
          <cell r="L84">
            <v>1.3591489999999999E-2</v>
          </cell>
          <cell r="M84">
            <v>1.3019289999999999E-2</v>
          </cell>
          <cell r="N84">
            <v>1.240702E-2</v>
          </cell>
          <cell r="O84">
            <v>1.0436559999999999E-2</v>
          </cell>
          <cell r="P84">
            <v>1.0478110000000001E-2</v>
          </cell>
        </row>
        <row r="85">
          <cell r="A85" t="str">
            <v>CR.USD.CORP.ALLSEC.AA.SPRD.PAR#7Y</v>
          </cell>
          <cell r="B85" t="str">
            <v>UNITED STATES CORP ALLSECTOR AA 7Y PAR SPREAD OVER GOVT</v>
          </cell>
          <cell r="C85" t="str">
            <v>Credit Spread Risk</v>
          </cell>
          <cell r="D85">
            <v>1</v>
          </cell>
          <cell r="E85" t="str">
            <v>N/A</v>
          </cell>
          <cell r="F85" t="str">
            <v>Decimal</v>
          </cell>
          <cell r="G85">
            <v>5.80943E-3</v>
          </cell>
          <cell r="H85">
            <v>6.0614800000000002E-3</v>
          </cell>
          <cell r="I85">
            <v>1.878573E-2</v>
          </cell>
          <cell r="J85">
            <v>1.6913339999999999E-2</v>
          </cell>
          <cell r="K85">
            <v>1.651824E-2</v>
          </cell>
          <cell r="L85">
            <v>1.5735329999999999E-2</v>
          </cell>
          <cell r="M85">
            <v>1.515597E-2</v>
          </cell>
          <cell r="N85">
            <v>1.449334E-2</v>
          </cell>
          <cell r="O85">
            <v>1.246065E-2</v>
          </cell>
          <cell r="P85">
            <v>1.252579E-2</v>
          </cell>
        </row>
        <row r="86">
          <cell r="A86" t="str">
            <v>CR.USD.CORP.ALLSEC.AA.SPRD.SIMPLE#12M</v>
          </cell>
          <cell r="B86" t="str">
            <v>UNITED STATES CORP ALLSECTOR AA 12M SIMPLE SPREAD OVER GOVT</v>
          </cell>
          <cell r="C86" t="str">
            <v>Credit Spread Risk</v>
          </cell>
          <cell r="D86">
            <v>1</v>
          </cell>
          <cell r="E86" t="str">
            <v>N/A</v>
          </cell>
          <cell r="F86" t="str">
            <v>Decimal</v>
          </cell>
          <cell r="G86">
            <v>1.9290100000000001E-3</v>
          </cell>
          <cell r="H86">
            <v>2.3822399999999999E-3</v>
          </cell>
          <cell r="I86">
            <v>1.439178E-2</v>
          </cell>
          <cell r="J86">
            <v>1.159103E-2</v>
          </cell>
          <cell r="K86">
            <v>1.0230309999999999E-2</v>
          </cell>
          <cell r="L86">
            <v>8.7639099999999998E-3</v>
          </cell>
          <cell r="M86">
            <v>7.8508999999999992E-3</v>
          </cell>
          <cell r="N86">
            <v>7.3307700000000003E-3</v>
          </cell>
          <cell r="O86">
            <v>5.8768199999999996E-3</v>
          </cell>
          <cell r="P86">
            <v>6.5040699999999998E-3</v>
          </cell>
        </row>
        <row r="87">
          <cell r="A87" t="str">
            <v>CR.USD.CORP.ALLSEC.AA.SPRD.SIMPLE#1M</v>
          </cell>
          <cell r="B87" t="str">
            <v>UNITED STATES CORP ALLSECTOR AA 1M SIMPLE SPREAD OVER GOVT</v>
          </cell>
          <cell r="C87" t="str">
            <v>Credit Spread Risk</v>
          </cell>
          <cell r="D87">
            <v>1</v>
          </cell>
          <cell r="E87" t="str">
            <v>N/A</v>
          </cell>
          <cell r="F87" t="str">
            <v>Decimal</v>
          </cell>
          <cell r="G87">
            <v>1.7786099999999999E-3</v>
          </cell>
          <cell r="H87">
            <v>2.0402699999999998E-3</v>
          </cell>
          <cell r="I87">
            <v>1.448691E-2</v>
          </cell>
          <cell r="J87">
            <v>1.1978809999999999E-2</v>
          </cell>
          <cell r="K87">
            <v>1.249655E-2</v>
          </cell>
          <cell r="L87">
            <v>1.011563E-2</v>
          </cell>
          <cell r="M87">
            <v>7.4290600000000004E-3</v>
          </cell>
          <cell r="N87">
            <v>5.1550199999999997E-3</v>
          </cell>
          <cell r="O87">
            <v>4.5410399999999997E-3</v>
          </cell>
          <cell r="P87">
            <v>4.9386400000000002E-3</v>
          </cell>
        </row>
        <row r="88">
          <cell r="A88" t="str">
            <v>CR.USD.CORP.ALLSEC.AA.SPRD.SIMPLE#3M</v>
          </cell>
          <cell r="B88" t="str">
            <v>UNITED STATES CORP ALLSECTOR AA 3M SIMPLE SPREAD OVER GOVT</v>
          </cell>
          <cell r="C88" t="str">
            <v>Credit Spread Risk</v>
          </cell>
          <cell r="D88">
            <v>1</v>
          </cell>
          <cell r="E88" t="str">
            <v>N/A</v>
          </cell>
          <cell r="F88" t="str">
            <v>Decimal</v>
          </cell>
          <cell r="G88">
            <v>1.72697E-3</v>
          </cell>
          <cell r="H88">
            <v>2.0716200000000001E-3</v>
          </cell>
          <cell r="I88">
            <v>1.44969E-2</v>
          </cell>
          <cell r="J88">
            <v>1.1596810000000001E-2</v>
          </cell>
          <cell r="K88">
            <v>1.2112879999999999E-2</v>
          </cell>
          <cell r="L88">
            <v>9.5516300000000002E-3</v>
          </cell>
          <cell r="M88">
            <v>7.0702400000000002E-3</v>
          </cell>
          <cell r="N88">
            <v>4.8821100000000003E-3</v>
          </cell>
          <cell r="O88">
            <v>4.6772300000000001E-3</v>
          </cell>
          <cell r="P88">
            <v>4.8856799999999999E-3</v>
          </cell>
        </row>
        <row r="89">
          <cell r="A89" t="str">
            <v>CR.USD.CORP.ALLSEC.AA.SPRD.SIMPLE#6M</v>
          </cell>
          <cell r="B89" t="str">
            <v>UNITED STATES CORP ALLSECTOR AA 6M SIMPLE SPREAD OVER GOVT</v>
          </cell>
          <cell r="C89" t="str">
            <v>Credit Spread Risk</v>
          </cell>
          <cell r="D89">
            <v>1</v>
          </cell>
          <cell r="E89" t="str">
            <v>N/A</v>
          </cell>
          <cell r="F89" t="str">
            <v>Decimal</v>
          </cell>
          <cell r="G89">
            <v>1.8410099999999999E-3</v>
          </cell>
          <cell r="H89">
            <v>2.2570300000000001E-3</v>
          </cell>
          <cell r="I89">
            <v>1.420595E-2</v>
          </cell>
          <cell r="J89">
            <v>1.226618E-2</v>
          </cell>
          <cell r="K89">
            <v>1.145706E-2</v>
          </cell>
          <cell r="L89">
            <v>8.8733500000000003E-3</v>
          </cell>
          <cell r="M89">
            <v>6.6425800000000004E-3</v>
          </cell>
          <cell r="N89">
            <v>6.1810099999999998E-3</v>
          </cell>
          <cell r="O89">
            <v>4.9312000000000002E-3</v>
          </cell>
          <cell r="P89">
            <v>5.3898000000000001E-3</v>
          </cell>
        </row>
        <row r="90">
          <cell r="A90" t="str">
            <v>CR.USD.CORP.ALLSEC.AAA.SPRD.PAR#10Y</v>
          </cell>
          <cell r="B90" t="str">
            <v>UNITED STATES CORP ALLSECTOR AAA 10Y PAR SPREAD OVER GOVT</v>
          </cell>
          <cell r="C90" t="str">
            <v>Credit Spread Risk</v>
          </cell>
          <cell r="D90">
            <v>1</v>
          </cell>
          <cell r="E90" t="str">
            <v>N/A</v>
          </cell>
          <cell r="F90" t="str">
            <v>Decimal</v>
          </cell>
          <cell r="G90">
            <v>4.53383E-3</v>
          </cell>
          <cell r="H90">
            <v>4.7476599999999999E-3</v>
          </cell>
          <cell r="I90">
            <v>1.5524960000000001E-2</v>
          </cell>
          <cell r="J90">
            <v>1.39892E-2</v>
          </cell>
          <cell r="K90">
            <v>1.371289E-2</v>
          </cell>
          <cell r="L90">
            <v>1.291575E-2</v>
          </cell>
          <cell r="M90">
            <v>1.219515E-2</v>
          </cell>
          <cell r="N90">
            <v>1.130105E-2</v>
          </cell>
          <cell r="O90">
            <v>9.0307100000000008E-3</v>
          </cell>
          <cell r="P90">
            <v>8.9787700000000005E-3</v>
          </cell>
        </row>
        <row r="91">
          <cell r="A91" t="str">
            <v>CR.USD.CORP.ALLSEC.AAA.SPRD.PAR#15Y</v>
          </cell>
          <cell r="B91" t="str">
            <v>UNITED STATES CORP ALLSECTOR AAA 15Y PAR SPREAD OVER GOVT</v>
          </cell>
          <cell r="C91" t="str">
            <v>Credit Spread Risk</v>
          </cell>
          <cell r="D91">
            <v>1</v>
          </cell>
          <cell r="E91" t="str">
            <v>N/A</v>
          </cell>
          <cell r="F91" t="str">
            <v>Decimal</v>
          </cell>
          <cell r="G91">
            <v>6.4858700000000004E-3</v>
          </cell>
          <cell r="H91">
            <v>6.6283399999999999E-3</v>
          </cell>
          <cell r="I91">
            <v>1.6744510000000001E-2</v>
          </cell>
          <cell r="J91">
            <v>1.53799E-2</v>
          </cell>
          <cell r="K91">
            <v>1.474191E-2</v>
          </cell>
          <cell r="L91">
            <v>1.3746059999999999E-2</v>
          </cell>
          <cell r="M91">
            <v>1.2812759999999999E-2</v>
          </cell>
          <cell r="N91">
            <v>1.182622E-2</v>
          </cell>
          <cell r="O91">
            <v>1.010841E-2</v>
          </cell>
          <cell r="P91">
            <v>9.8040799999999997E-3</v>
          </cell>
        </row>
        <row r="92">
          <cell r="A92" t="str">
            <v>CR.USD.CORP.ALLSEC.AAA.SPRD.PAR#20Y</v>
          </cell>
          <cell r="B92" t="str">
            <v>UNITED STATES CORP ALLSECTOR AAA 20Y PAR SPREAD OVER GOVT</v>
          </cell>
          <cell r="C92" t="str">
            <v>Credit Spread Risk</v>
          </cell>
          <cell r="D92">
            <v>1</v>
          </cell>
          <cell r="E92" t="str">
            <v>N/A</v>
          </cell>
          <cell r="F92" t="str">
            <v>Decimal</v>
          </cell>
          <cell r="G92">
            <v>6.9492E-3</v>
          </cell>
          <cell r="H92">
            <v>7.0419499999999999E-3</v>
          </cell>
          <cell r="I92">
            <v>1.6660339999999999E-2</v>
          </cell>
          <cell r="J92">
            <v>1.5121890000000001E-2</v>
          </cell>
          <cell r="K92">
            <v>1.426032E-2</v>
          </cell>
          <cell r="L92">
            <v>1.315905E-2</v>
          </cell>
          <cell r="M92">
            <v>1.214601E-2</v>
          </cell>
          <cell r="N92">
            <v>1.114281E-2</v>
          </cell>
          <cell r="O92">
            <v>9.6345400000000005E-3</v>
          </cell>
          <cell r="P92">
            <v>9.3074899999999999E-3</v>
          </cell>
        </row>
        <row r="93">
          <cell r="A93" t="str">
            <v>CR.USD.CORP.ALLSEC.AAA.SPRD.PAR#2Y</v>
          </cell>
          <cell r="B93" t="str">
            <v>UNITED STATES CORP ALLSECTOR AAA 2Y PAR SPREAD OVER GOVT</v>
          </cell>
          <cell r="C93" t="str">
            <v>Credit Spread Risk</v>
          </cell>
          <cell r="D93">
            <v>1</v>
          </cell>
          <cell r="E93" t="str">
            <v>N/A</v>
          </cell>
          <cell r="F93" t="str">
            <v>Decimal</v>
          </cell>
          <cell r="G93">
            <v>1.2812399999999999E-3</v>
          </cell>
          <cell r="H93">
            <v>1.59121E-3</v>
          </cell>
          <cell r="I93">
            <v>1.263598E-2</v>
          </cell>
          <cell r="J93">
            <v>1.056849E-2</v>
          </cell>
          <cell r="K93">
            <v>1.0090129999999999E-2</v>
          </cell>
          <cell r="L93">
            <v>8.9517299999999998E-3</v>
          </cell>
          <cell r="M93">
            <v>8.1434699999999999E-3</v>
          </cell>
          <cell r="N93">
            <v>7.4574699999999999E-3</v>
          </cell>
          <cell r="O93">
            <v>5.6403599999999996E-3</v>
          </cell>
          <cell r="P93">
            <v>5.4546999999999998E-3</v>
          </cell>
        </row>
        <row r="94">
          <cell r="A94" t="str">
            <v>CR.USD.CORP.ALLSEC.AAA.SPRD.PAR#30Y</v>
          </cell>
          <cell r="B94" t="str">
            <v>UNITED STATES CORP ALLSECTOR AAA 30Y PAR SPREAD OVER GOVT</v>
          </cell>
          <cell r="C94" t="str">
            <v>Credit Spread Risk</v>
          </cell>
          <cell r="D94">
            <v>1</v>
          </cell>
          <cell r="E94" t="str">
            <v>N/A</v>
          </cell>
          <cell r="F94" t="str">
            <v>Decimal</v>
          </cell>
          <cell r="G94">
            <v>7.7865699999999996E-3</v>
          </cell>
          <cell r="H94">
            <v>7.9060899999999993E-3</v>
          </cell>
          <cell r="I94">
            <v>1.753161E-2</v>
          </cell>
          <cell r="J94">
            <v>1.6310290000000002E-2</v>
          </cell>
          <cell r="K94">
            <v>1.580351E-2</v>
          </cell>
          <cell r="L94">
            <v>1.4992719999999999E-2</v>
          </cell>
          <cell r="M94">
            <v>1.422854E-2</v>
          </cell>
          <cell r="N94">
            <v>1.340823E-2</v>
          </cell>
          <cell r="O94">
            <v>1.173591E-2</v>
          </cell>
          <cell r="P94">
            <v>1.137122E-2</v>
          </cell>
        </row>
        <row r="95">
          <cell r="A95" t="str">
            <v>CR.USD.CORP.ALLSEC.AAA.SPRD.PAR#3Y</v>
          </cell>
          <cell r="B95" t="str">
            <v>UNITED STATES CORP ALLSECTOR AAA 3Y PAR SPREAD OVER GOVT</v>
          </cell>
          <cell r="C95" t="str">
            <v>Credit Spread Risk</v>
          </cell>
          <cell r="D95">
            <v>1</v>
          </cell>
          <cell r="E95" t="str">
            <v>N/A</v>
          </cell>
          <cell r="F95" t="str">
            <v>Decimal</v>
          </cell>
          <cell r="G95">
            <v>1.4055199999999999E-3</v>
          </cell>
          <cell r="H95">
            <v>1.93611E-3</v>
          </cell>
          <cell r="I95">
            <v>1.3213219999999999E-2</v>
          </cell>
          <cell r="J95">
            <v>1.145121E-2</v>
          </cell>
          <cell r="K95">
            <v>1.124262E-2</v>
          </cell>
          <cell r="L95">
            <v>9.9164000000000006E-3</v>
          </cell>
          <cell r="M95">
            <v>8.8022099999999995E-3</v>
          </cell>
          <cell r="N95">
            <v>7.6488199999999998E-3</v>
          </cell>
          <cell r="O95">
            <v>5.2142600000000001E-3</v>
          </cell>
          <cell r="P95">
            <v>5.1242099999999997E-3</v>
          </cell>
        </row>
        <row r="96">
          <cell r="A96" t="str">
            <v>CR.USD.CORP.ALLSEC.AAA.SPRD.PAR#5Y</v>
          </cell>
          <cell r="B96" t="str">
            <v>UNITED STATES CORP ALLSECTOR AAA 5Y PAR SPREAD OVER GOVT</v>
          </cell>
          <cell r="C96" t="str">
            <v>Credit Spread Risk</v>
          </cell>
          <cell r="D96">
            <v>1</v>
          </cell>
          <cell r="E96" t="str">
            <v>N/A</v>
          </cell>
          <cell r="F96" t="str">
            <v>Decimal</v>
          </cell>
          <cell r="G96">
            <v>2.1584799999999999E-3</v>
          </cell>
          <cell r="H96">
            <v>2.59187E-3</v>
          </cell>
          <cell r="I96">
            <v>1.3674810000000001E-2</v>
          </cell>
          <cell r="J96">
            <v>1.17591E-2</v>
          </cell>
          <cell r="K96">
            <v>1.130305E-2</v>
          </cell>
          <cell r="L96">
            <v>1.0296700000000001E-2</v>
          </cell>
          <cell r="M96">
            <v>9.4704100000000003E-3</v>
          </cell>
          <cell r="N96">
            <v>8.5711299999999997E-3</v>
          </cell>
          <cell r="O96">
            <v>6.3745099999999999E-3</v>
          </cell>
          <cell r="P96">
            <v>6.3093200000000002E-3</v>
          </cell>
        </row>
        <row r="97">
          <cell r="A97" t="str">
            <v>CR.USD.CORP.ALLSEC.AAA.SPRD.PAR#7Y</v>
          </cell>
          <cell r="B97" t="str">
            <v>UNITED STATES CORP ALLSECTOR AAA 7Y PAR SPREAD OVER GOVT</v>
          </cell>
          <cell r="C97" t="str">
            <v>Credit Spread Risk</v>
          </cell>
          <cell r="D97">
            <v>1</v>
          </cell>
          <cell r="E97" t="str">
            <v>N/A</v>
          </cell>
          <cell r="F97" t="str">
            <v>Decimal</v>
          </cell>
          <cell r="G97">
            <v>3.11174E-3</v>
          </cell>
          <cell r="H97">
            <v>3.43831E-3</v>
          </cell>
          <cell r="I97">
            <v>1.438646E-2</v>
          </cell>
          <cell r="J97">
            <v>1.264465E-2</v>
          </cell>
          <cell r="K97">
            <v>1.228579E-2</v>
          </cell>
          <cell r="L97">
            <v>1.1397040000000001E-2</v>
          </cell>
          <cell r="M97">
            <v>1.0639590000000001E-2</v>
          </cell>
          <cell r="N97">
            <v>9.7502999999999999E-3</v>
          </cell>
          <cell r="O97">
            <v>7.5083700000000003E-3</v>
          </cell>
          <cell r="P97">
            <v>7.5486599999999996E-3</v>
          </cell>
        </row>
        <row r="98">
          <cell r="A98" t="str">
            <v>CR.USD.CORP.ALLSEC.AAA.SPRD.SIMPLE#12M</v>
          </cell>
          <cell r="B98" t="str">
            <v>UNITED STATES CORP ALLSECTOR AAA 12M SIMPLE SPREAD OVER GOVT</v>
          </cell>
          <cell r="C98" t="str">
            <v>Credit Spread Risk</v>
          </cell>
          <cell r="D98">
            <v>1</v>
          </cell>
          <cell r="E98" t="str">
            <v>N/A</v>
          </cell>
          <cell r="F98" t="str">
            <v>Decimal</v>
          </cell>
          <cell r="G98">
            <v>1.65485E-3</v>
          </cell>
          <cell r="H98">
            <v>2.3822399999999999E-3</v>
          </cell>
          <cell r="I98">
            <v>1.327156E-2</v>
          </cell>
          <cell r="J98">
            <v>1.0760789999999999E-2</v>
          </cell>
          <cell r="K98">
            <v>9.5435999999999993E-3</v>
          </cell>
          <cell r="L98">
            <v>7.8905399999999997E-3</v>
          </cell>
          <cell r="M98">
            <v>6.6900900000000001E-3</v>
          </cell>
          <cell r="N98">
            <v>5.80943E-3</v>
          </cell>
          <cell r="O98">
            <v>4.0068899999999999E-3</v>
          </cell>
          <cell r="P98">
            <v>4.3765899999999996E-3</v>
          </cell>
        </row>
        <row r="99">
          <cell r="A99" t="str">
            <v>CR.USD.CORP.ALLSEC.AAA.SPRD.SIMPLE#1M</v>
          </cell>
          <cell r="B99" t="str">
            <v>UNITED STATES CORP ALLSECTOR AAA 1M SIMPLE SPREAD OVER GOVT</v>
          </cell>
          <cell r="C99" t="str">
            <v>Credit Spread Risk</v>
          </cell>
          <cell r="D99">
            <v>1</v>
          </cell>
          <cell r="E99" t="str">
            <v>N/A</v>
          </cell>
          <cell r="F99" t="str">
            <v>Decimal</v>
          </cell>
          <cell r="G99">
            <v>1.5045900000000001E-3</v>
          </cell>
          <cell r="H99">
            <v>2.0402699999999998E-3</v>
          </cell>
          <cell r="I99">
            <v>1.3389649999999999E-2</v>
          </cell>
          <cell r="J99">
            <v>1.118826E-2</v>
          </cell>
          <cell r="K99">
            <v>1.183699E-2</v>
          </cell>
          <cell r="L99">
            <v>9.5027400000000008E-3</v>
          </cell>
          <cell r="M99">
            <v>6.8088300000000001E-3</v>
          </cell>
          <cell r="N99">
            <v>4.5075599999999999E-3</v>
          </cell>
          <cell r="O99">
            <v>3.0734999999999998E-3</v>
          </cell>
          <cell r="P99">
            <v>3.3236799999999999E-3</v>
          </cell>
        </row>
        <row r="100">
          <cell r="A100" t="str">
            <v>CR.USD.CORP.ALLSEC.AAA.SPRD.SIMPLE#3M</v>
          </cell>
          <cell r="B100" t="str">
            <v>UNITED STATES CORP ALLSECTOR AAA 3M SIMPLE SPREAD OVER GOVT</v>
          </cell>
          <cell r="C100" t="str">
            <v>Credit Spread Risk</v>
          </cell>
          <cell r="D100">
            <v>1</v>
          </cell>
          <cell r="E100" t="str">
            <v>N/A</v>
          </cell>
          <cell r="F100" t="str">
            <v>Decimal</v>
          </cell>
          <cell r="G100">
            <v>1.4529499999999999E-3</v>
          </cell>
          <cell r="H100">
            <v>2.0716200000000001E-3</v>
          </cell>
          <cell r="I100">
            <v>1.3399629999999999E-2</v>
          </cell>
          <cell r="J100">
            <v>1.080654E-2</v>
          </cell>
          <cell r="K100">
            <v>1.14483E-2</v>
          </cell>
          <cell r="L100">
            <v>8.9339799999999994E-3</v>
          </cell>
          <cell r="M100">
            <v>6.4449900000000003E-3</v>
          </cell>
          <cell r="N100">
            <v>4.2297200000000002E-3</v>
          </cell>
          <cell r="O100">
            <v>3.13634E-3</v>
          </cell>
          <cell r="P100">
            <v>3.2005599999999999E-3</v>
          </cell>
        </row>
        <row r="101">
          <cell r="A101" t="str">
            <v>CR.USD.CORP.ALLSEC.AAA.SPRD.SIMPLE#6M</v>
          </cell>
          <cell r="B101" t="str">
            <v>UNITED STATES CORP ALLSECTOR AAA 6M SIMPLE SPREAD OVER GOVT</v>
          </cell>
          <cell r="C101" t="str">
            <v>Credit Spread Risk</v>
          </cell>
          <cell r="D101">
            <v>1</v>
          </cell>
          <cell r="E101" t="str">
            <v>N/A</v>
          </cell>
          <cell r="F101" t="str">
            <v>Decimal</v>
          </cell>
          <cell r="G101">
            <v>1.5669600000000001E-3</v>
          </cell>
          <cell r="H101">
            <v>2.2570300000000001E-3</v>
          </cell>
          <cell r="I101">
            <v>1.310885E-2</v>
          </cell>
          <cell r="J101">
            <v>1.1456630000000001E-2</v>
          </cell>
          <cell r="K101">
            <v>1.078528E-2</v>
          </cell>
          <cell r="L101">
            <v>8.2483399999999998E-3</v>
          </cell>
          <cell r="M101">
            <v>6.0098699999999996E-3</v>
          </cell>
          <cell r="N101">
            <v>5.0568899999999996E-3</v>
          </cell>
          <cell r="O101">
            <v>3.2818600000000002E-3</v>
          </cell>
          <cell r="P101">
            <v>3.5946900000000002E-3</v>
          </cell>
        </row>
        <row r="102">
          <cell r="A102" t="str">
            <v>CR.USD.CORP.ALLSEC.B.SPRD.PAR#10Y</v>
          </cell>
          <cell r="B102" t="str">
            <v>UNITED STATES CORP ALLSECTOR B 10Y PAR SPREAD OVER GOVT</v>
          </cell>
          <cell r="C102" t="str">
            <v>Credit Spread Risk</v>
          </cell>
          <cell r="D102">
            <v>1</v>
          </cell>
          <cell r="E102" t="str">
            <v>N/A</v>
          </cell>
          <cell r="F102" t="str">
            <v>Decimal</v>
          </cell>
          <cell r="G102">
            <v>5.0176890000000002E-2</v>
          </cell>
          <cell r="H102">
            <v>4.9989150000000003E-2</v>
          </cell>
          <cell r="I102">
            <v>0.10811833999999999</v>
          </cell>
          <cell r="J102">
            <v>0.10191893</v>
          </cell>
          <cell r="K102">
            <v>0.10084537</v>
          </cell>
          <cell r="L102">
            <v>9.914982E-2</v>
          </cell>
          <cell r="M102">
            <v>9.7919010000000001E-2</v>
          </cell>
          <cell r="N102">
            <v>9.5816769999999996E-2</v>
          </cell>
          <cell r="O102">
            <v>8.6572460000000004E-2</v>
          </cell>
          <cell r="P102">
            <v>8.3786780000000005E-2</v>
          </cell>
        </row>
        <row r="103">
          <cell r="A103" t="str">
            <v>CR.USD.CORP.ALLSEC.B.SPRD.PAR#15Y</v>
          </cell>
          <cell r="B103" t="str">
            <v>UNITED STATES CORP ALLSECTOR B 15Y PAR SPREAD OVER GOVT</v>
          </cell>
          <cell r="C103" t="str">
            <v>Credit Spread Risk</v>
          </cell>
          <cell r="D103">
            <v>1</v>
          </cell>
          <cell r="E103" t="str">
            <v>N/A</v>
          </cell>
          <cell r="F103" t="str">
            <v>Decimal</v>
          </cell>
          <cell r="G103">
            <v>4.9920600000000002E-2</v>
          </cell>
          <cell r="H103">
            <v>4.9676030000000003E-2</v>
          </cell>
          <cell r="I103">
            <v>0.10509439</v>
          </cell>
          <cell r="J103">
            <v>9.9025929999999998E-2</v>
          </cell>
          <cell r="K103">
            <v>9.7901039999999995E-2</v>
          </cell>
          <cell r="L103">
            <v>9.6123600000000003E-2</v>
          </cell>
          <cell r="M103">
            <v>9.4713350000000002E-2</v>
          </cell>
          <cell r="N103">
            <v>9.2451130000000006E-2</v>
          </cell>
          <cell r="O103">
            <v>8.3440260000000002E-2</v>
          </cell>
          <cell r="P103">
            <v>8.0724039999999997E-2</v>
          </cell>
        </row>
        <row r="104">
          <cell r="A104" t="str">
            <v>CR.USD.CORP.ALLSEC.B.SPRD.PAR#20Y</v>
          </cell>
          <cell r="B104" t="str">
            <v>UNITED STATES CORP ALLSECTOR B 20Y PAR SPREAD OVER GOVT</v>
          </cell>
          <cell r="C104" t="str">
            <v>Credit Spread Risk</v>
          </cell>
          <cell r="D104">
            <v>1</v>
          </cell>
          <cell r="E104" t="str">
            <v>N/A</v>
          </cell>
          <cell r="F104" t="str">
            <v>Decimal</v>
          </cell>
          <cell r="G104">
            <v>4.9059390000000001E-2</v>
          </cell>
          <cell r="H104">
            <v>4.8736380000000003E-2</v>
          </cell>
          <cell r="I104">
            <v>0.10342030000000001</v>
          </cell>
          <cell r="J104">
            <v>9.7335240000000003E-2</v>
          </cell>
          <cell r="K104">
            <v>9.623437E-2</v>
          </cell>
          <cell r="L104">
            <v>9.4503580000000004E-2</v>
          </cell>
          <cell r="M104">
            <v>9.3090419999999993E-2</v>
          </cell>
          <cell r="N104">
            <v>9.08355E-2</v>
          </cell>
          <cell r="O104">
            <v>8.1844040000000007E-2</v>
          </cell>
          <cell r="P104">
            <v>7.9110570000000005E-2</v>
          </cell>
        </row>
        <row r="105">
          <cell r="A105" t="str">
            <v>CR.USD.CORP.ALLSEC.B.SPRD.PAR#2Y</v>
          </cell>
          <cell r="B105" t="str">
            <v>UNITED STATES CORP ALLSECTOR B 2Y PAR SPREAD OVER GOVT</v>
          </cell>
          <cell r="C105" t="str">
            <v>Credit Spread Risk</v>
          </cell>
          <cell r="D105">
            <v>1</v>
          </cell>
          <cell r="E105" t="str">
            <v>N/A</v>
          </cell>
          <cell r="F105" t="str">
            <v>Decimal</v>
          </cell>
          <cell r="G105">
            <v>5.1541150000000001E-2</v>
          </cell>
          <cell r="H105">
            <v>5.1340770000000001E-2</v>
          </cell>
          <cell r="I105">
            <v>0.11389489999999999</v>
          </cell>
          <cell r="J105">
            <v>0.10716455</v>
          </cell>
          <cell r="K105">
            <v>0.10536155</v>
          </cell>
          <cell r="L105">
            <v>0.10312830000000001</v>
          </cell>
          <cell r="M105">
            <v>0.101801</v>
          </cell>
          <cell r="N105">
            <v>0.10003204</v>
          </cell>
          <cell r="O105">
            <v>9.1967800000000002E-2</v>
          </cell>
          <cell r="P105">
            <v>8.8738079999999997E-2</v>
          </cell>
        </row>
        <row r="106">
          <cell r="A106" t="str">
            <v>CR.USD.CORP.ALLSEC.B.SPRD.PAR#30Y</v>
          </cell>
          <cell r="B106" t="str">
            <v>UNITED STATES CORP ALLSECTOR B 30Y PAR SPREAD OVER GOVT</v>
          </cell>
          <cell r="C106" t="str">
            <v>Credit Spread Risk</v>
          </cell>
          <cell r="D106">
            <v>1</v>
          </cell>
          <cell r="E106" t="str">
            <v>N/A</v>
          </cell>
          <cell r="F106" t="str">
            <v>Decimal</v>
          </cell>
          <cell r="G106">
            <v>4.8513170000000001E-2</v>
          </cell>
          <cell r="H106">
            <v>4.8134080000000003E-2</v>
          </cell>
          <cell r="I106">
            <v>0.10215218</v>
          </cell>
          <cell r="J106">
            <v>9.6156420000000006E-2</v>
          </cell>
          <cell r="K106">
            <v>9.5218029999999995E-2</v>
          </cell>
          <cell r="L106">
            <v>9.3663419999999997E-2</v>
          </cell>
          <cell r="M106">
            <v>9.2365669999999997E-2</v>
          </cell>
          <cell r="N106">
            <v>9.0231510000000001E-2</v>
          </cell>
          <cell r="O106">
            <v>8.1241930000000004E-2</v>
          </cell>
          <cell r="P106">
            <v>7.8466480000000005E-2</v>
          </cell>
        </row>
        <row r="107">
          <cell r="A107" t="str">
            <v>CR.USD.CORP.ALLSEC.B.SPRD.PAR#3Y</v>
          </cell>
          <cell r="B107" t="str">
            <v>UNITED STATES CORP ALLSECTOR B 3Y PAR SPREAD OVER GOVT</v>
          </cell>
          <cell r="C107" t="str">
            <v>Credit Spread Risk</v>
          </cell>
          <cell r="D107">
            <v>1</v>
          </cell>
          <cell r="E107" t="str">
            <v>N/A</v>
          </cell>
          <cell r="F107" t="str">
            <v>Decimal</v>
          </cell>
          <cell r="G107">
            <v>5.1285879999999999E-2</v>
          </cell>
          <cell r="H107">
            <v>5.121962E-2</v>
          </cell>
          <cell r="I107">
            <v>0.1138069</v>
          </cell>
          <cell r="J107">
            <v>0.10735746</v>
          </cell>
          <cell r="K107">
            <v>0.10576693</v>
          </cell>
          <cell r="L107">
            <v>0.10333889</v>
          </cell>
          <cell r="M107">
            <v>0.10171864</v>
          </cell>
          <cell r="N107">
            <v>9.950341E-2</v>
          </cell>
          <cell r="O107">
            <v>9.0838450000000001E-2</v>
          </cell>
          <cell r="P107">
            <v>8.7679670000000001E-2</v>
          </cell>
        </row>
        <row r="108">
          <cell r="A108" t="str">
            <v>CR.USD.CORP.ALLSEC.B.SPRD.PAR#5Y</v>
          </cell>
          <cell r="B108" t="str">
            <v>UNITED STATES CORP ALLSECTOR B 5Y PAR SPREAD OVER GOVT</v>
          </cell>
          <cell r="C108" t="str">
            <v>Credit Spread Risk</v>
          </cell>
          <cell r="D108">
            <v>1</v>
          </cell>
          <cell r="E108" t="str">
            <v>N/A</v>
          </cell>
          <cell r="F108" t="str">
            <v>Decimal</v>
          </cell>
          <cell r="G108">
            <v>5.080577E-2</v>
          </cell>
          <cell r="H108">
            <v>5.0560090000000002E-2</v>
          </cell>
          <cell r="I108">
            <v>0.11265077</v>
          </cell>
          <cell r="J108">
            <v>0.10606529000000001</v>
          </cell>
          <cell r="K108">
            <v>0.10427187</v>
          </cell>
          <cell r="L108">
            <v>0.10217526</v>
          </cell>
          <cell r="M108">
            <v>0.10081492</v>
          </cell>
          <cell r="N108">
            <v>9.8830429999999997E-2</v>
          </cell>
          <cell r="O108">
            <v>9.0322849999999996E-2</v>
          </cell>
          <cell r="P108">
            <v>8.7149180000000007E-2</v>
          </cell>
        </row>
        <row r="109">
          <cell r="A109" t="str">
            <v>CR.USD.CORP.ALLSEC.B.SPRD.PAR#7Y</v>
          </cell>
          <cell r="B109" t="str">
            <v>UNITED STATES CORP ALLSECTOR B 7Y PAR SPREAD OVER GOVT</v>
          </cell>
          <cell r="C109" t="str">
            <v>Credit Spread Risk</v>
          </cell>
          <cell r="D109">
            <v>1</v>
          </cell>
          <cell r="E109" t="str">
            <v>N/A</v>
          </cell>
          <cell r="F109" t="str">
            <v>Decimal</v>
          </cell>
          <cell r="G109">
            <v>5.0410959999999998E-2</v>
          </cell>
          <cell r="H109">
            <v>5.0154949999999997E-2</v>
          </cell>
          <cell r="I109">
            <v>0.11048953</v>
          </cell>
          <cell r="J109">
            <v>0.10410293</v>
          </cell>
          <cell r="K109">
            <v>0.10265442</v>
          </cell>
          <cell r="L109">
            <v>0.10078086999999999</v>
          </cell>
          <cell r="M109">
            <v>9.9518010000000004E-2</v>
          </cell>
          <cell r="N109">
            <v>9.7512810000000005E-2</v>
          </cell>
          <cell r="O109">
            <v>8.8679670000000002E-2</v>
          </cell>
          <cell r="P109">
            <v>8.5743319999999998E-2</v>
          </cell>
        </row>
        <row r="110">
          <cell r="A110" t="str">
            <v>CR.USD.CORP.ALLSEC.B.SPRD.SIMPLE#12M</v>
          </cell>
          <cell r="B110" t="str">
            <v>UNITED STATES CORP ALLSECTOR B 12M SIMPLE SPREAD OVER GOVT</v>
          </cell>
          <cell r="C110" t="str">
            <v>Credit Spread Risk</v>
          </cell>
          <cell r="D110">
            <v>1</v>
          </cell>
          <cell r="E110" t="str">
            <v>N/A</v>
          </cell>
          <cell r="F110" t="str">
            <v>Decimal</v>
          </cell>
          <cell r="G110">
            <v>5.1116309999999998E-2</v>
          </cell>
          <cell r="H110">
            <v>5.1412399999999997E-2</v>
          </cell>
          <cell r="I110">
            <v>0.11311652</v>
          </cell>
          <cell r="J110">
            <v>0.10612558</v>
          </cell>
          <cell r="K110">
            <v>0.1037622</v>
          </cell>
          <cell r="L110">
            <v>0.10110347</v>
          </cell>
          <cell r="M110">
            <v>9.9447099999999997E-2</v>
          </cell>
          <cell r="N110">
            <v>9.7547999999999996E-2</v>
          </cell>
          <cell r="O110">
            <v>8.9639529999999995E-2</v>
          </cell>
          <cell r="P110">
            <v>8.7026510000000001E-2</v>
          </cell>
        </row>
        <row r="111">
          <cell r="A111" t="str">
            <v>CR.USD.CORP.ALLSEC.B.SPRD.SIMPLE#1M</v>
          </cell>
          <cell r="B111" t="str">
            <v>UNITED STATES CORP ALLSECTOR B 1M SIMPLE SPREAD OVER GOVT</v>
          </cell>
          <cell r="C111" t="str">
            <v>Credit Spread Risk</v>
          </cell>
          <cell r="D111">
            <v>1</v>
          </cell>
          <cell r="E111" t="str">
            <v>N/A</v>
          </cell>
          <cell r="F111" t="str">
            <v>Decimal</v>
          </cell>
          <cell r="G111">
            <v>5.0967190000000002E-2</v>
          </cell>
          <cell r="H111">
            <v>5.1069839999999998E-2</v>
          </cell>
          <cell r="I111">
            <v>0.11320425000000001</v>
          </cell>
          <cell r="J111">
            <v>0.10651592</v>
          </cell>
          <cell r="K111">
            <v>0.10613736999999999</v>
          </cell>
          <cell r="L111">
            <v>0.10298516000000001</v>
          </cell>
          <cell r="M111">
            <v>0.10002800000000001</v>
          </cell>
          <cell r="N111">
            <v>9.6943829999999995E-2</v>
          </cell>
          <cell r="O111">
            <v>8.9055400000000007E-2</v>
          </cell>
          <cell r="P111">
            <v>8.6451810000000004E-2</v>
          </cell>
        </row>
        <row r="112">
          <cell r="A112" t="str">
            <v>CR.USD.CORP.ALLSEC.B.SPRD.SIMPLE#3M</v>
          </cell>
          <cell r="B112" t="str">
            <v>UNITED STATES CORP ALLSECTOR B 3M SIMPLE SPREAD OVER GOVT</v>
          </cell>
          <cell r="C112" t="str">
            <v>Credit Spread Risk</v>
          </cell>
          <cell r="D112">
            <v>1</v>
          </cell>
          <cell r="E112" t="str">
            <v>N/A</v>
          </cell>
          <cell r="F112" t="str">
            <v>Decimal</v>
          </cell>
          <cell r="G112">
            <v>5.0915559999999999E-2</v>
          </cell>
          <cell r="H112">
            <v>5.1097499999999997E-2</v>
          </cell>
          <cell r="I112">
            <v>0.1132075</v>
          </cell>
          <cell r="J112">
            <v>0.1060938</v>
          </cell>
          <cell r="K112">
            <v>0.10574386</v>
          </cell>
          <cell r="L112">
            <v>0.10238483</v>
          </cell>
          <cell r="M112">
            <v>9.966034E-2</v>
          </cell>
          <cell r="N112">
            <v>9.6650539999999993E-2</v>
          </cell>
          <cell r="O112">
            <v>8.9043419999999998E-2</v>
          </cell>
          <cell r="P112">
            <v>8.6220409999999997E-2</v>
          </cell>
        </row>
        <row r="113">
          <cell r="A113" t="str">
            <v>CR.USD.CORP.ALLSEC.B.SPRD.SIMPLE#6M</v>
          </cell>
          <cell r="B113" t="str">
            <v>UNITED STATES CORP ALLSECTOR B 6M SIMPLE SPREAD OVER GOVT</v>
          </cell>
          <cell r="C113" t="str">
            <v>Credit Spread Risk</v>
          </cell>
          <cell r="D113">
            <v>1</v>
          </cell>
          <cell r="E113" t="str">
            <v>N/A</v>
          </cell>
          <cell r="F113" t="str">
            <v>Decimal</v>
          </cell>
          <cell r="G113">
            <v>5.1029289999999998E-2</v>
          </cell>
          <cell r="H113">
            <v>5.1275170000000002E-2</v>
          </cell>
          <cell r="I113">
            <v>0.11289141</v>
          </cell>
          <cell r="J113">
            <v>0.10680679999999999</v>
          </cell>
          <cell r="K113">
            <v>0.10503311999999999</v>
          </cell>
          <cell r="L113">
            <v>0.10167256</v>
          </cell>
          <cell r="M113">
            <v>9.9201239999999996E-2</v>
          </cell>
          <cell r="N113">
            <v>9.7123280000000006E-2</v>
          </cell>
          <cell r="O113">
            <v>8.9094190000000004E-2</v>
          </cell>
          <cell r="P113">
            <v>8.654017E-2</v>
          </cell>
        </row>
        <row r="114">
          <cell r="A114" t="str">
            <v>CR.USD.CORP.ALLSEC.BB.SPRD.PAR#10Y</v>
          </cell>
          <cell r="B114" t="str">
            <v>UNITED STATES CORP ALLSECTOR BB 10Y PAR SPREAD OVER GOVT</v>
          </cell>
          <cell r="C114" t="str">
            <v>Credit Spread Risk</v>
          </cell>
          <cell r="D114">
            <v>1</v>
          </cell>
          <cell r="E114" t="str">
            <v>N/A</v>
          </cell>
          <cell r="F114" t="str">
            <v>Decimal</v>
          </cell>
          <cell r="G114">
            <v>3.1782699999999997E-2</v>
          </cell>
          <cell r="H114">
            <v>3.1662419999999997E-2</v>
          </cell>
          <cell r="I114">
            <v>7.2744829999999996E-2</v>
          </cell>
          <cell r="J114">
            <v>6.8376790000000007E-2</v>
          </cell>
          <cell r="K114">
            <v>6.7663440000000005E-2</v>
          </cell>
          <cell r="L114">
            <v>6.6469760000000003E-2</v>
          </cell>
          <cell r="M114">
            <v>6.5604469999999998E-2</v>
          </cell>
          <cell r="N114">
            <v>6.4117430000000003E-2</v>
          </cell>
          <cell r="O114">
            <v>5.7559850000000003E-2</v>
          </cell>
          <cell r="P114">
            <v>5.5635080000000003E-2</v>
          </cell>
        </row>
        <row r="115">
          <cell r="A115" t="str">
            <v>CR.USD.CORP.ALLSEC.BB.SPRD.PAR#15Y</v>
          </cell>
          <cell r="B115" t="str">
            <v>UNITED STATES CORP ALLSECTOR BB 15Y PAR SPREAD OVER GOVT</v>
          </cell>
          <cell r="C115" t="str">
            <v>Credit Spread Risk</v>
          </cell>
          <cell r="D115">
            <v>1</v>
          </cell>
          <cell r="E115" t="str">
            <v>N/A</v>
          </cell>
          <cell r="F115" t="str">
            <v>Decimal</v>
          </cell>
          <cell r="G115">
            <v>3.1761200000000003E-2</v>
          </cell>
          <cell r="H115">
            <v>3.1589020000000002E-2</v>
          </cell>
          <cell r="I115">
            <v>7.0414930000000001E-2</v>
          </cell>
          <cell r="J115">
            <v>6.6174350000000007E-2</v>
          </cell>
          <cell r="K115">
            <v>6.5394499999999994E-2</v>
          </cell>
          <cell r="L115">
            <v>6.4113660000000003E-2</v>
          </cell>
          <cell r="M115">
            <v>6.3083059999999996E-2</v>
          </cell>
          <cell r="N115">
            <v>6.145188E-2</v>
          </cell>
          <cell r="O115">
            <v>5.5113519999999999E-2</v>
          </cell>
          <cell r="P115">
            <v>5.3235360000000002E-2</v>
          </cell>
        </row>
        <row r="116">
          <cell r="A116" t="str">
            <v>CR.USD.CORP.ALLSEC.BB.SPRD.PAR#20Y</v>
          </cell>
          <cell r="B116" t="str">
            <v>UNITED STATES CORP ALLSECTOR BB 20Y PAR SPREAD OVER GOVT</v>
          </cell>
          <cell r="C116" t="str">
            <v>Credit Spread Risk</v>
          </cell>
          <cell r="D116">
            <v>1</v>
          </cell>
          <cell r="E116" t="str">
            <v>N/A</v>
          </cell>
          <cell r="F116" t="str">
            <v>Decimal</v>
          </cell>
          <cell r="G116">
            <v>3.1051769999999999E-2</v>
          </cell>
          <cell r="H116">
            <v>3.0825450000000001E-2</v>
          </cell>
          <cell r="I116">
            <v>6.9100490000000001E-2</v>
          </cell>
          <cell r="J116">
            <v>6.4852569999999998E-2</v>
          </cell>
          <cell r="K116">
            <v>6.4086470000000006E-2</v>
          </cell>
          <cell r="L116">
            <v>6.2839300000000001E-2</v>
          </cell>
          <cell r="M116">
            <v>6.1806100000000003E-2</v>
          </cell>
          <cell r="N116">
            <v>6.0179990000000003E-2</v>
          </cell>
          <cell r="O116">
            <v>5.3865759999999999E-2</v>
          </cell>
          <cell r="P116">
            <v>5.1979310000000001E-2</v>
          </cell>
        </row>
        <row r="117">
          <cell r="A117" t="str">
            <v>CR.USD.CORP.ALLSEC.BB.SPRD.PAR#2Y</v>
          </cell>
          <cell r="B117" t="str">
            <v>UNITED STATES CORP ALLSECTOR BB 2Y PAR SPREAD OVER GOVT</v>
          </cell>
          <cell r="C117" t="str">
            <v>Credit Spread Risk</v>
          </cell>
          <cell r="D117">
            <v>1</v>
          </cell>
          <cell r="E117" t="str">
            <v>N/A</v>
          </cell>
          <cell r="F117" t="str">
            <v>Decimal</v>
          </cell>
          <cell r="G117">
            <v>3.2639849999999998E-2</v>
          </cell>
          <cell r="H117">
            <v>3.2472319999999999E-2</v>
          </cell>
          <cell r="I117">
            <v>7.6971120000000004E-2</v>
          </cell>
          <cell r="J117">
            <v>7.2183280000000002E-2</v>
          </cell>
          <cell r="K117">
            <v>7.0947319999999994E-2</v>
          </cell>
          <cell r="L117">
            <v>6.9334629999999994E-2</v>
          </cell>
          <cell r="M117">
            <v>6.8431389999999995E-2</v>
          </cell>
          <cell r="N117">
            <v>6.7303520000000006E-2</v>
          </cell>
          <cell r="O117">
            <v>6.1779290000000001E-2</v>
          </cell>
          <cell r="P117">
            <v>5.941685E-2</v>
          </cell>
        </row>
        <row r="118">
          <cell r="A118" t="str">
            <v>CR.USD.CORP.ALLSEC.BB.SPRD.PAR#30Y</v>
          </cell>
          <cell r="B118" t="str">
            <v>UNITED STATES CORP ALLSECTOR BB 30Y PAR SPREAD OVER GOVT</v>
          </cell>
          <cell r="C118" t="str">
            <v>Credit Spread Risk</v>
          </cell>
          <cell r="D118">
            <v>1</v>
          </cell>
          <cell r="E118" t="str">
            <v>N/A</v>
          </cell>
          <cell r="F118" t="str">
            <v>Decimal</v>
          </cell>
          <cell r="G118">
            <v>3.071053E-2</v>
          </cell>
          <cell r="H118">
            <v>3.047182E-2</v>
          </cell>
          <cell r="I118">
            <v>6.8207719999999999E-2</v>
          </cell>
          <cell r="J118">
            <v>6.4074019999999995E-2</v>
          </cell>
          <cell r="K118">
            <v>6.3456659999999998E-2</v>
          </cell>
          <cell r="L118">
            <v>6.2367569999999997E-2</v>
          </cell>
          <cell r="M118">
            <v>6.1446649999999998E-2</v>
          </cell>
          <cell r="N118">
            <v>5.9936049999999998E-2</v>
          </cell>
          <cell r="O118">
            <v>5.3649839999999997E-2</v>
          </cell>
          <cell r="P118">
            <v>5.1747219999999997E-2</v>
          </cell>
        </row>
        <row r="119">
          <cell r="A119" t="str">
            <v>CR.USD.CORP.ALLSEC.BB.SPRD.PAR#3Y</v>
          </cell>
          <cell r="B119" t="str">
            <v>UNITED STATES CORP ALLSECTOR BB 3Y PAR SPREAD OVER GOVT</v>
          </cell>
          <cell r="C119" t="str">
            <v>Credit Spread Risk</v>
          </cell>
          <cell r="D119">
            <v>1</v>
          </cell>
          <cell r="E119" t="str">
            <v>N/A</v>
          </cell>
          <cell r="F119" t="str">
            <v>Decimal</v>
          </cell>
          <cell r="G119">
            <v>3.2470730000000003E-2</v>
          </cell>
          <cell r="H119">
            <v>3.2443350000000003E-2</v>
          </cell>
          <cell r="I119">
            <v>7.7018349999999999E-2</v>
          </cell>
          <cell r="J119">
            <v>7.2489600000000001E-2</v>
          </cell>
          <cell r="K119">
            <v>7.1455519999999995E-2</v>
          </cell>
          <cell r="L119">
            <v>6.9634860000000007E-2</v>
          </cell>
          <cell r="M119">
            <v>6.8420159999999994E-2</v>
          </cell>
          <cell r="N119">
            <v>6.6826640000000007E-2</v>
          </cell>
          <cell r="O119">
            <v>6.0686120000000003E-2</v>
          </cell>
          <cell r="P119">
            <v>5.8396650000000001E-2</v>
          </cell>
        </row>
        <row r="120">
          <cell r="A120" t="str">
            <v>CR.USD.CORP.ALLSEC.BB.SPRD.PAR#5Y</v>
          </cell>
          <cell r="B120" t="str">
            <v>UNITED STATES CORP ALLSECTOR BB 5Y PAR SPREAD OVER GOVT</v>
          </cell>
          <cell r="C120" t="str">
            <v>Credit Spread Risk</v>
          </cell>
          <cell r="D120">
            <v>1</v>
          </cell>
          <cell r="E120" t="str">
            <v>N/A</v>
          </cell>
          <cell r="F120" t="str">
            <v>Decimal</v>
          </cell>
          <cell r="G120">
            <v>3.2161019999999998E-2</v>
          </cell>
          <cell r="H120">
            <v>3.1954219999999998E-2</v>
          </cell>
          <cell r="I120">
            <v>7.6110769999999994E-2</v>
          </cell>
          <cell r="J120">
            <v>7.1404170000000003E-2</v>
          </cell>
          <cell r="K120">
            <v>7.0120580000000002E-2</v>
          </cell>
          <cell r="L120">
            <v>6.8614010000000003E-2</v>
          </cell>
          <cell r="M120">
            <v>6.7658070000000001E-2</v>
          </cell>
          <cell r="N120">
            <v>6.6295279999999998E-2</v>
          </cell>
          <cell r="O120">
            <v>6.0336460000000001E-2</v>
          </cell>
          <cell r="P120">
            <v>5.80508E-2</v>
          </cell>
        </row>
        <row r="121">
          <cell r="A121" t="str">
            <v>CR.USD.CORP.ALLSEC.BB.SPRD.PAR#7Y</v>
          </cell>
          <cell r="B121" t="str">
            <v>UNITED STATES CORP ALLSECTOR BB 7Y PAR SPREAD OVER GOVT</v>
          </cell>
          <cell r="C121" t="str">
            <v>Credit Spread Risk</v>
          </cell>
          <cell r="D121">
            <v>1</v>
          </cell>
          <cell r="E121" t="str">
            <v>N/A</v>
          </cell>
          <cell r="F121" t="str">
            <v>Decimal</v>
          </cell>
          <cell r="G121">
            <v>3.1905610000000001E-2</v>
          </cell>
          <cell r="H121">
            <v>3.1699739999999997E-2</v>
          </cell>
          <cell r="I121">
            <v>7.4509560000000002E-2</v>
          </cell>
          <cell r="J121">
            <v>6.9966669999999995E-2</v>
          </cell>
          <cell r="K121">
            <v>6.8949529999999995E-2</v>
          </cell>
          <cell r="L121">
            <v>6.761433E-2</v>
          </cell>
          <cell r="M121">
            <v>6.6727770000000006E-2</v>
          </cell>
          <cell r="N121">
            <v>6.5329949999999998E-2</v>
          </cell>
          <cell r="O121">
            <v>5.9100069999999998E-2</v>
          </cell>
          <cell r="P121">
            <v>5.704393E-2</v>
          </cell>
        </row>
        <row r="122">
          <cell r="A122" t="str">
            <v>CR.USD.CORP.ALLSEC.BB.SPRD.SIMPLE#12M</v>
          </cell>
          <cell r="B122" t="str">
            <v>UNITED STATES CORP ALLSECTOR BB 12M SIMPLE SPREAD OVER GOVT</v>
          </cell>
          <cell r="C122" t="str">
            <v>Credit Spread Risk</v>
          </cell>
          <cell r="D122">
            <v>1</v>
          </cell>
          <cell r="E122" t="str">
            <v>N/A</v>
          </cell>
          <cell r="F122" t="str">
            <v>Decimal</v>
          </cell>
          <cell r="G122">
            <v>3.2456859999999997E-2</v>
          </cell>
          <cell r="H122">
            <v>3.2785740000000001E-2</v>
          </cell>
          <cell r="I122">
            <v>7.6717999999999995E-2</v>
          </cell>
          <cell r="J122">
            <v>7.1646349999999998E-2</v>
          </cell>
          <cell r="K122">
            <v>6.9841899999999998E-2</v>
          </cell>
          <cell r="L122">
            <v>6.7792939999999996E-2</v>
          </cell>
          <cell r="M122">
            <v>6.6556450000000003E-2</v>
          </cell>
          <cell r="N122">
            <v>6.5291150000000006E-2</v>
          </cell>
          <cell r="O122">
            <v>5.9884270000000003E-2</v>
          </cell>
          <cell r="P122">
            <v>5.813049E-2</v>
          </cell>
        </row>
        <row r="123">
          <cell r="A123" t="str">
            <v>CR.USD.CORP.ALLSEC.BB.SPRD.SIMPLE#1M</v>
          </cell>
          <cell r="B123" t="str">
            <v>UNITED STATES CORP ALLSECTOR BB 1M SIMPLE SPREAD OVER GOVT</v>
          </cell>
          <cell r="C123" t="str">
            <v>Credit Spread Risk</v>
          </cell>
          <cell r="D123">
            <v>1</v>
          </cell>
          <cell r="E123" t="str">
            <v>N/A</v>
          </cell>
          <cell r="F123" t="str">
            <v>Decimal</v>
          </cell>
          <cell r="G123">
            <v>3.230761E-2</v>
          </cell>
          <cell r="H123">
            <v>3.242461E-2</v>
          </cell>
          <cell r="I123">
            <v>7.6771110000000004E-2</v>
          </cell>
          <cell r="J123">
            <v>7.1970950000000006E-2</v>
          </cell>
          <cell r="K123">
            <v>7.2132139999999997E-2</v>
          </cell>
          <cell r="L123">
            <v>6.9585590000000003E-2</v>
          </cell>
          <cell r="M123">
            <v>6.7054829999999996E-2</v>
          </cell>
          <cell r="N123">
            <v>6.4609899999999998E-2</v>
          </cell>
          <cell r="O123">
            <v>5.9222230000000001E-2</v>
          </cell>
          <cell r="P123">
            <v>5.7488879999999999E-2</v>
          </cell>
        </row>
        <row r="124">
          <cell r="A124" t="str">
            <v>CR.USD.CORP.ALLSEC.BB.SPRD.SIMPLE#3M</v>
          </cell>
          <cell r="B124" t="str">
            <v>UNITED STATES CORP ALLSECTOR BB 3M SIMPLE SPREAD OVER GOVT</v>
          </cell>
          <cell r="C124" t="str">
            <v>Credit Spread Risk</v>
          </cell>
          <cell r="D124">
            <v>1</v>
          </cell>
          <cell r="E124" t="str">
            <v>N/A</v>
          </cell>
          <cell r="F124" t="str">
            <v>Decimal</v>
          </cell>
          <cell r="G124">
            <v>3.2255979999999997E-2</v>
          </cell>
          <cell r="H124">
            <v>3.2453610000000001E-2</v>
          </cell>
          <cell r="I124">
            <v>7.6776869999999997E-2</v>
          </cell>
          <cell r="J124">
            <v>7.156353E-2</v>
          </cell>
          <cell r="K124">
            <v>7.1750480000000005E-2</v>
          </cell>
          <cell r="L124">
            <v>6.9006440000000002E-2</v>
          </cell>
          <cell r="M124">
            <v>6.6698549999999995E-2</v>
          </cell>
          <cell r="N124">
            <v>6.4331990000000006E-2</v>
          </cell>
          <cell r="O124">
            <v>5.9228299999999998E-2</v>
          </cell>
          <cell r="P124">
            <v>5.7287490000000003E-2</v>
          </cell>
        </row>
        <row r="125">
          <cell r="A125" t="str">
            <v>CR.USD.CORP.ALLSEC.BB.SPRD.SIMPLE#6M</v>
          </cell>
          <cell r="B125" t="str">
            <v>UNITED STATES CORP ALLSECTOR BB 6M SIMPLE SPREAD OVER GOVT</v>
          </cell>
          <cell r="C125" t="str">
            <v>Credit Spread Risk</v>
          </cell>
          <cell r="D125">
            <v>1</v>
          </cell>
          <cell r="E125" t="str">
            <v>N/A</v>
          </cell>
          <cell r="F125" t="str">
            <v>Decimal</v>
          </cell>
          <cell r="G125">
            <v>3.2369740000000001E-2</v>
          </cell>
          <cell r="H125">
            <v>3.2634059999999999E-2</v>
          </cell>
          <cell r="I125">
            <v>7.6470090000000004E-2</v>
          </cell>
          <cell r="J125">
            <v>7.2291510000000003E-2</v>
          </cell>
          <cell r="K125">
            <v>7.1071999999999996E-2</v>
          </cell>
          <cell r="L125">
            <v>6.8318690000000001E-2</v>
          </cell>
          <cell r="M125">
            <v>6.6263039999999995E-2</v>
          </cell>
          <cell r="N125">
            <v>6.4822279999999996E-2</v>
          </cell>
          <cell r="O125">
            <v>5.9300279999999997E-2</v>
          </cell>
          <cell r="P125">
            <v>5.7621260000000001E-2</v>
          </cell>
        </row>
        <row r="126">
          <cell r="A126" t="str">
            <v>CR.USD.CORP.ALLSEC.BBB.SPRD.PAR#10Y</v>
          </cell>
          <cell r="B126" t="str">
            <v>UNITED STATES CORP ALLSECTOR BBB 10Y PAR SPREAD OVER GOVT</v>
          </cell>
          <cell r="C126" t="str">
            <v>Credit Spread Risk</v>
          </cell>
          <cell r="D126">
            <v>1</v>
          </cell>
          <cell r="E126" t="str">
            <v>N/A</v>
          </cell>
          <cell r="F126" t="str">
            <v>Decimal</v>
          </cell>
          <cell r="G126">
            <v>1.686029E-2</v>
          </cell>
          <cell r="H126">
            <v>1.7243250000000002E-2</v>
          </cell>
          <cell r="I126">
            <v>4.4844660000000001E-2</v>
          </cell>
          <cell r="J126">
            <v>4.197803E-2</v>
          </cell>
          <cell r="K126">
            <v>4.3005069999999999E-2</v>
          </cell>
          <cell r="L126">
            <v>4.2475020000000002E-2</v>
          </cell>
          <cell r="M126">
            <v>4.193293E-2</v>
          </cell>
          <cell r="N126">
            <v>4.0430420000000002E-2</v>
          </cell>
          <cell r="O126">
            <v>3.3546329999999999E-2</v>
          </cell>
          <cell r="P126">
            <v>3.3180910000000001E-2</v>
          </cell>
        </row>
        <row r="127">
          <cell r="A127" t="str">
            <v>CR.USD.CORP.ALLSEC.BBB.SPRD.PAR#15Y</v>
          </cell>
          <cell r="B127" t="str">
            <v>UNITED STATES CORP ALLSECTOR BBB 15Y PAR SPREAD OVER GOVT</v>
          </cell>
          <cell r="C127" t="str">
            <v>Credit Spread Risk</v>
          </cell>
          <cell r="D127">
            <v>1</v>
          </cell>
          <cell r="E127" t="str">
            <v>N/A</v>
          </cell>
          <cell r="F127" t="str">
            <v>Decimal</v>
          </cell>
          <cell r="G127">
            <v>1.8718740000000001E-2</v>
          </cell>
          <cell r="H127">
            <v>1.8945799999999999E-2</v>
          </cell>
          <cell r="I127">
            <v>4.5371219999999997E-2</v>
          </cell>
          <cell r="J127">
            <v>4.2486599999999999E-2</v>
          </cell>
          <cell r="K127">
            <v>4.3117040000000002E-2</v>
          </cell>
          <cell r="L127">
            <v>4.2344630000000001E-2</v>
          </cell>
          <cell r="M127">
            <v>4.1546239999999998E-2</v>
          </cell>
          <cell r="N127">
            <v>3.9884719999999999E-2</v>
          </cell>
          <cell r="O127">
            <v>3.3380600000000003E-2</v>
          </cell>
          <cell r="P127">
            <v>3.2808459999999998E-2</v>
          </cell>
        </row>
        <row r="128">
          <cell r="A128" t="str">
            <v>CR.USD.CORP.ALLSEC.BBB.SPRD.PAR#20Y</v>
          </cell>
          <cell r="B128" t="str">
            <v>UNITED STATES CORP ALLSECTOR BBB 20Y PAR SPREAD OVER GOVT</v>
          </cell>
          <cell r="C128" t="str">
            <v>Credit Spread Risk</v>
          </cell>
          <cell r="D128">
            <v>1</v>
          </cell>
          <cell r="E128" t="str">
            <v>N/A</v>
          </cell>
          <cell r="F128" t="str">
            <v>Decimal</v>
          </cell>
          <cell r="G128">
            <v>1.8684039999999999E-2</v>
          </cell>
          <cell r="H128">
            <v>1.8800049999999999E-2</v>
          </cell>
          <cell r="I128">
            <v>4.4437520000000001E-2</v>
          </cell>
          <cell r="J128">
            <v>4.1267579999999998E-2</v>
          </cell>
          <cell r="K128">
            <v>4.1664470000000002E-2</v>
          </cell>
          <cell r="L128">
            <v>4.0759570000000002E-2</v>
          </cell>
          <cell r="M128">
            <v>3.9839569999999998E-2</v>
          </cell>
          <cell r="N128">
            <v>3.8101500000000003E-2</v>
          </cell>
          <cell r="O128">
            <v>3.165896E-2</v>
          </cell>
          <cell r="P128">
            <v>3.1085000000000002E-2</v>
          </cell>
        </row>
        <row r="129">
          <cell r="A129" t="str">
            <v>CR.USD.CORP.ALLSEC.BBB.SPRD.PAR#2Y</v>
          </cell>
          <cell r="B129" t="str">
            <v>UNITED STATES CORP ALLSECTOR BBB 2Y PAR SPREAD OVER GOVT</v>
          </cell>
          <cell r="C129" t="str">
            <v>Credit Spread Risk</v>
          </cell>
          <cell r="D129">
            <v>1</v>
          </cell>
          <cell r="E129" t="str">
            <v>N/A</v>
          </cell>
          <cell r="F129" t="str">
            <v>Decimal</v>
          </cell>
          <cell r="G129">
            <v>8.3066900000000003E-3</v>
          </cell>
          <cell r="H129">
            <v>8.9517199999999998E-3</v>
          </cell>
          <cell r="I129">
            <v>3.8039860000000002E-2</v>
          </cell>
          <cell r="J129">
            <v>3.5497889999999997E-2</v>
          </cell>
          <cell r="K129">
            <v>3.7086760000000003E-2</v>
          </cell>
          <cell r="L129">
            <v>3.6699280000000001E-2</v>
          </cell>
          <cell r="M129">
            <v>3.6529029999999997E-2</v>
          </cell>
          <cell r="N129">
            <v>3.5684019999999997E-2</v>
          </cell>
          <cell r="O129">
            <v>2.9882579999999999E-2</v>
          </cell>
          <cell r="P129">
            <v>2.9619670000000001E-2</v>
          </cell>
        </row>
        <row r="130">
          <cell r="A130" t="str">
            <v>CR.USD.CORP.ALLSEC.BBB.SPRD.PAR#30Y</v>
          </cell>
          <cell r="B130" t="str">
            <v>UNITED STATES CORP ALLSECTOR BBB 30Y PAR SPREAD OVER GOVT</v>
          </cell>
          <cell r="C130" t="str">
            <v>Credit Spread Risk</v>
          </cell>
          <cell r="D130">
            <v>1</v>
          </cell>
          <cell r="E130" t="str">
            <v>N/A</v>
          </cell>
          <cell r="F130" t="str">
            <v>Decimal</v>
          </cell>
          <cell r="G130">
            <v>1.8430439999999999E-2</v>
          </cell>
          <cell r="H130">
            <v>1.850715E-2</v>
          </cell>
          <cell r="I130">
            <v>4.3859519999999999E-2</v>
          </cell>
          <cell r="J130">
            <v>4.072021E-2</v>
          </cell>
          <cell r="K130">
            <v>4.1161009999999998E-2</v>
          </cell>
          <cell r="L130">
            <v>4.033718E-2</v>
          </cell>
          <cell r="M130">
            <v>3.9473899999999999E-2</v>
          </cell>
          <cell r="N130">
            <v>3.7802200000000001E-2</v>
          </cell>
          <cell r="O130">
            <v>3.1394390000000001E-2</v>
          </cell>
          <cell r="P130">
            <v>3.0799179999999999E-2</v>
          </cell>
        </row>
        <row r="131">
          <cell r="A131" t="str">
            <v>CR.USD.CORP.ALLSEC.BBB.SPRD.PAR#3Y</v>
          </cell>
          <cell r="B131" t="str">
            <v>UNITED STATES CORP ALLSECTOR BBB 3Y PAR SPREAD OVER GOVT</v>
          </cell>
          <cell r="C131" t="str">
            <v>Credit Spread Risk</v>
          </cell>
          <cell r="D131">
            <v>1</v>
          </cell>
          <cell r="E131" t="str">
            <v>N/A</v>
          </cell>
          <cell r="F131" t="str">
            <v>Decimal</v>
          </cell>
          <cell r="G131">
            <v>1.005052E-2</v>
          </cell>
          <cell r="H131">
            <v>1.0830930000000001E-2</v>
          </cell>
          <cell r="I131">
            <v>3.9961749999999997E-2</v>
          </cell>
          <cell r="J131">
            <v>3.7559269999999999E-2</v>
          </cell>
          <cell r="K131">
            <v>3.9179600000000002E-2</v>
          </cell>
          <cell r="L131">
            <v>3.8490950000000003E-2</v>
          </cell>
          <cell r="M131">
            <v>3.791622E-2</v>
          </cell>
          <cell r="N131">
            <v>3.6513469999999999E-2</v>
          </cell>
          <cell r="O131">
            <v>3.0009299999999999E-2</v>
          </cell>
          <cell r="P131">
            <v>2.9721230000000001E-2</v>
          </cell>
        </row>
        <row r="132">
          <cell r="A132" t="str">
            <v>CR.USD.CORP.ALLSEC.BBB.SPRD.PAR#5Y</v>
          </cell>
          <cell r="B132" t="str">
            <v>UNITED STATES CORP ALLSECTOR BBB 5Y PAR SPREAD OVER GOVT</v>
          </cell>
          <cell r="C132" t="str">
            <v>Credit Spread Risk</v>
          </cell>
          <cell r="D132">
            <v>1</v>
          </cell>
          <cell r="E132" t="str">
            <v>N/A</v>
          </cell>
          <cell r="F132" t="str">
            <v>Decimal</v>
          </cell>
          <cell r="G132">
            <v>1.2817749999999999E-2</v>
          </cell>
          <cell r="H132">
            <v>1.330974E-2</v>
          </cell>
          <cell r="I132">
            <v>4.1896049999999997E-2</v>
          </cell>
          <cell r="J132">
            <v>3.9120589999999997E-2</v>
          </cell>
          <cell r="K132">
            <v>4.0220489999999998E-2</v>
          </cell>
          <cell r="L132">
            <v>3.972374E-2</v>
          </cell>
          <cell r="M132">
            <v>3.9309999999999998E-2</v>
          </cell>
          <cell r="N132">
            <v>3.8048430000000001E-2</v>
          </cell>
          <cell r="O132">
            <v>3.1672649999999997E-2</v>
          </cell>
          <cell r="P132">
            <v>3.1300120000000001E-2</v>
          </cell>
        </row>
        <row r="133">
          <cell r="A133" t="str">
            <v>CR.USD.CORP.ALLSEC.BBB.SPRD.PAR#7Y</v>
          </cell>
          <cell r="B133" t="str">
            <v>UNITED STATES CORP ALLSECTOR BBB 7Y PAR SPREAD OVER GOVT</v>
          </cell>
          <cell r="C133" t="str">
            <v>Credit Spread Risk</v>
          </cell>
          <cell r="D133">
            <v>1</v>
          </cell>
          <cell r="E133" t="str">
            <v>N/A</v>
          </cell>
          <cell r="F133" t="str">
            <v>Decimal</v>
          </cell>
          <cell r="G133">
            <v>1.4798759999999999E-2</v>
          </cell>
          <cell r="H133">
            <v>1.5214510000000001E-2</v>
          </cell>
          <cell r="I133">
            <v>4.3345960000000003E-2</v>
          </cell>
          <cell r="J133">
            <v>4.0537749999999997E-2</v>
          </cell>
          <cell r="K133">
            <v>4.1614199999999997E-2</v>
          </cell>
          <cell r="L133">
            <v>4.1129140000000002E-2</v>
          </cell>
          <cell r="M133">
            <v>4.0682139999999999E-2</v>
          </cell>
          <cell r="N133">
            <v>3.9325449999999998E-2</v>
          </cell>
          <cell r="O133">
            <v>3.2712400000000003E-2</v>
          </cell>
          <cell r="P133">
            <v>3.2431269999999998E-2</v>
          </cell>
        </row>
        <row r="134">
          <cell r="A134" t="str">
            <v>CR.USD.CORP.ALLSEC.BBB.SPRD.SIMPLE#12M</v>
          </cell>
          <cell r="B134" t="str">
            <v>UNITED STATES CORP ALLSECTOR BBB 12M SIMPLE SPREAD OVER GOVT</v>
          </cell>
          <cell r="C134" t="str">
            <v>Credit Spread Risk</v>
          </cell>
          <cell r="D134">
            <v>1</v>
          </cell>
          <cell r="E134" t="str">
            <v>N/A</v>
          </cell>
          <cell r="F134" t="str">
            <v>Decimal</v>
          </cell>
          <cell r="G134">
            <v>6.3941199999999997E-3</v>
          </cell>
          <cell r="H134">
            <v>7.3966600000000002E-3</v>
          </cell>
          <cell r="I134">
            <v>3.6189800000000001E-2</v>
          </cell>
          <cell r="J134">
            <v>3.3487719999999999E-2</v>
          </cell>
          <cell r="K134">
            <v>3.4764099999999999E-2</v>
          </cell>
          <cell r="L134">
            <v>3.400413E-2</v>
          </cell>
          <cell r="M134">
            <v>3.3572169999999998E-2</v>
          </cell>
          <cell r="N134">
            <v>3.2669280000000002E-2</v>
          </cell>
          <cell r="O134">
            <v>2.7071439999999999E-2</v>
          </cell>
          <cell r="P134">
            <v>2.7465570000000002E-2</v>
          </cell>
        </row>
        <row r="135">
          <cell r="A135" t="str">
            <v>CR.USD.CORP.ALLSEC.BBB.SPRD.SIMPLE#1M</v>
          </cell>
          <cell r="B135" t="str">
            <v>UNITED STATES CORP ALLSECTOR BBB 1M SIMPLE SPREAD OVER GOVT</v>
          </cell>
          <cell r="C135" t="str">
            <v>Credit Spread Risk</v>
          </cell>
          <cell r="D135">
            <v>1</v>
          </cell>
          <cell r="E135" t="str">
            <v>N/A</v>
          </cell>
          <cell r="F135" t="str">
            <v>Decimal</v>
          </cell>
          <cell r="G135">
            <v>6.2413199999999999E-3</v>
          </cell>
          <cell r="H135">
            <v>6.3620200000000003E-3</v>
          </cell>
          <cell r="I135">
            <v>3.4640009999999999E-2</v>
          </cell>
          <cell r="J135">
            <v>3.1017380000000001E-2</v>
          </cell>
          <cell r="K135">
            <v>3.5051569999999997E-2</v>
          </cell>
          <cell r="L135">
            <v>3.3924320000000001E-2</v>
          </cell>
          <cell r="M135">
            <v>3.2365350000000001E-2</v>
          </cell>
          <cell r="N135">
            <v>3.048449E-2</v>
          </cell>
          <cell r="O135">
            <v>2.4638529999999999E-2</v>
          </cell>
          <cell r="P135">
            <v>2.5250180000000001E-2</v>
          </cell>
        </row>
        <row r="136">
          <cell r="A136" t="str">
            <v>CR.USD.CORP.ALLSEC.BBB.SPRD.SIMPLE#3M</v>
          </cell>
          <cell r="B136" t="str">
            <v>UNITED STATES CORP ALLSECTOR BBB 3M SIMPLE SPREAD OVER GOVT</v>
          </cell>
          <cell r="C136" t="str">
            <v>Credit Spread Risk</v>
          </cell>
          <cell r="D136">
            <v>1</v>
          </cell>
          <cell r="E136" t="str">
            <v>N/A</v>
          </cell>
          <cell r="F136" t="str">
            <v>Decimal</v>
          </cell>
          <cell r="G136">
            <v>6.1896599999999996E-3</v>
          </cell>
          <cell r="H136">
            <v>6.3934400000000002E-3</v>
          </cell>
          <cell r="I136">
            <v>3.4650100000000003E-2</v>
          </cell>
          <cell r="J136">
            <v>3.062875E-2</v>
          </cell>
          <cell r="K136">
            <v>3.5030940000000003E-2</v>
          </cell>
          <cell r="L136">
            <v>3.3710169999999998E-2</v>
          </cell>
          <cell r="M136">
            <v>3.2369259999999997E-2</v>
          </cell>
          <cell r="N136">
            <v>3.0570839999999998E-2</v>
          </cell>
          <cell r="O136">
            <v>2.4972600000000001E-2</v>
          </cell>
          <cell r="P136">
            <v>2.5379450000000001E-2</v>
          </cell>
        </row>
        <row r="137">
          <cell r="A137" t="str">
            <v>CR.USD.CORP.ALLSEC.BBB.SPRD.SIMPLE#6M</v>
          </cell>
          <cell r="B137" t="str">
            <v>UNITED STATES CORP ALLSECTOR BBB 6M SIMPLE SPREAD OVER GOVT</v>
          </cell>
          <cell r="C137" t="str">
            <v>Credit Spread Risk</v>
          </cell>
          <cell r="D137">
            <v>1</v>
          </cell>
          <cell r="E137" t="str">
            <v>N/A</v>
          </cell>
          <cell r="F137" t="str">
            <v>Decimal</v>
          </cell>
          <cell r="G137">
            <v>6.3042899999999997E-3</v>
          </cell>
          <cell r="H137">
            <v>6.57925E-3</v>
          </cell>
          <cell r="I137">
            <v>3.4356240000000003E-2</v>
          </cell>
          <cell r="J137">
            <v>3.2670680000000001E-2</v>
          </cell>
          <cell r="K137">
            <v>3.4906529999999998E-2</v>
          </cell>
          <cell r="L137">
            <v>3.3567630000000001E-2</v>
          </cell>
          <cell r="M137">
            <v>3.2483529999999997E-2</v>
          </cell>
          <cell r="N137">
            <v>3.1339939999999997E-2</v>
          </cell>
          <cell r="O137">
            <v>2.5522079999999999E-2</v>
          </cell>
          <cell r="P137">
            <v>2.61873E-2</v>
          </cell>
        </row>
        <row r="138">
          <cell r="A138" t="str">
            <v>CR.USD.CORP.ALLSEC.CCC.SPRD.PAR#10Y</v>
          </cell>
          <cell r="B138" t="str">
            <v>UNITED STATES CORP ALLSECTOR CCC 10Y PAR SPREAD OVER GOVT</v>
          </cell>
          <cell r="C138" t="str">
            <v>Credit Spread Risk</v>
          </cell>
          <cell r="D138">
            <v>1</v>
          </cell>
          <cell r="E138" t="str">
            <v>N/A</v>
          </cell>
          <cell r="F138" t="str">
            <v>Decimal</v>
          </cell>
          <cell r="G138">
            <v>8.7862889999999999E-2</v>
          </cell>
          <cell r="H138">
            <v>8.7533449999999999E-2</v>
          </cell>
          <cell r="I138">
            <v>0.18983716</v>
          </cell>
          <cell r="J138">
            <v>0.17884193000000001</v>
          </cell>
          <cell r="K138">
            <v>0.17670815000000001</v>
          </cell>
          <cell r="L138">
            <v>0.17365447000000001</v>
          </cell>
          <cell r="M138">
            <v>0.17145969999999999</v>
          </cell>
          <cell r="N138">
            <v>0.16777721000000001</v>
          </cell>
          <cell r="O138">
            <v>0.15171061999999999</v>
          </cell>
          <cell r="P138">
            <v>0.14668117999999999</v>
          </cell>
        </row>
        <row r="139">
          <cell r="A139" t="str">
            <v>CR.USD.CORP.ALLSEC.CCC.SPRD.PAR#15Y</v>
          </cell>
          <cell r="B139" t="str">
            <v>UNITED STATES CORP ALLSECTOR CCC 15Y PAR SPREAD OVER GOVT</v>
          </cell>
          <cell r="C139" t="str">
            <v>Credit Spread Risk</v>
          </cell>
          <cell r="D139">
            <v>1</v>
          </cell>
          <cell r="E139" t="str">
            <v>N/A</v>
          </cell>
          <cell r="F139" t="str">
            <v>Decimal</v>
          </cell>
          <cell r="G139">
            <v>8.7140419999999996E-2</v>
          </cell>
          <cell r="H139">
            <v>8.6740639999999994E-2</v>
          </cell>
          <cell r="I139">
            <v>0.18585668999999999</v>
          </cell>
          <cell r="J139">
            <v>0.17493453</v>
          </cell>
          <cell r="K139">
            <v>0.17278999</v>
          </cell>
          <cell r="L139">
            <v>0.16967747999999999</v>
          </cell>
          <cell r="M139">
            <v>0.16729817999999999</v>
          </cell>
          <cell r="N139">
            <v>0.16343332999999999</v>
          </cell>
          <cell r="O139">
            <v>0.14750932</v>
          </cell>
          <cell r="P139">
            <v>0.14255944000000001</v>
          </cell>
        </row>
        <row r="140">
          <cell r="A140" t="str">
            <v>CR.USD.CORP.ALLSEC.CCC.SPRD.PAR#20Y</v>
          </cell>
          <cell r="B140" t="str">
            <v>UNITED STATES CORP ALLSECTOR CCC 20Y PAR SPREAD OVER GOVT</v>
          </cell>
          <cell r="C140" t="str">
            <v>Credit Spread Risk</v>
          </cell>
          <cell r="D140">
            <v>1</v>
          </cell>
          <cell r="E140" t="str">
            <v>N/A</v>
          </cell>
          <cell r="F140" t="str">
            <v>Decimal</v>
          </cell>
          <cell r="G140">
            <v>8.5977680000000001E-2</v>
          </cell>
          <cell r="H140">
            <v>8.545498E-2</v>
          </cell>
          <cell r="I140">
            <v>0.18363628000000001</v>
          </cell>
          <cell r="J140">
            <v>0.17265549999999999</v>
          </cell>
          <cell r="K140">
            <v>0.17054878000000001</v>
          </cell>
          <cell r="L140">
            <v>0.16750134</v>
          </cell>
          <cell r="M140">
            <v>0.16511735</v>
          </cell>
          <cell r="N140">
            <v>0.16125914</v>
          </cell>
          <cell r="O140">
            <v>0.14531184</v>
          </cell>
          <cell r="P140">
            <v>0.14031921</v>
          </cell>
        </row>
        <row r="141">
          <cell r="A141" t="str">
            <v>CR.USD.CORP.ALLSEC.CCC.SPRD.PAR#2Y</v>
          </cell>
          <cell r="B141" t="str">
            <v>UNITED STATES CORP ALLSECTOR CCC 2Y PAR SPREAD OVER GOVT</v>
          </cell>
          <cell r="C141" t="str">
            <v>Credit Spread Risk</v>
          </cell>
          <cell r="D141">
            <v>1</v>
          </cell>
          <cell r="E141" t="str">
            <v>N/A</v>
          </cell>
          <cell r="F141" t="str">
            <v>Decimal</v>
          </cell>
          <cell r="G141">
            <v>9.0265719999999994E-2</v>
          </cell>
          <cell r="H141">
            <v>8.9993660000000003E-2</v>
          </cell>
          <cell r="I141">
            <v>0.19858086</v>
          </cell>
          <cell r="J141">
            <v>0.18685092</v>
          </cell>
          <cell r="K141">
            <v>0.18360176</v>
          </cell>
          <cell r="L141">
            <v>0.179785</v>
          </cell>
          <cell r="M141">
            <v>0.17737684000000001</v>
          </cell>
          <cell r="N141">
            <v>0.17396727000000001</v>
          </cell>
          <cell r="O141">
            <v>0.15940214</v>
          </cell>
          <cell r="P141">
            <v>0.15395917000000001</v>
          </cell>
        </row>
        <row r="142">
          <cell r="A142" t="str">
            <v>CR.USD.CORP.ALLSEC.CCC.SPRD.PAR#30Y</v>
          </cell>
          <cell r="B142" t="str">
            <v>UNITED STATES CORP ALLSECTOR CCC 30Y PAR SPREAD OVER GOVT</v>
          </cell>
          <cell r="C142" t="str">
            <v>Credit Spread Risk</v>
          </cell>
          <cell r="D142">
            <v>1</v>
          </cell>
          <cell r="E142" t="str">
            <v>N/A</v>
          </cell>
          <cell r="F142" t="str">
            <v>Decimal</v>
          </cell>
          <cell r="G142">
            <v>8.5060010000000005E-2</v>
          </cell>
          <cell r="H142">
            <v>8.4410529999999998E-2</v>
          </cell>
          <cell r="I142">
            <v>0.18193889999999999</v>
          </cell>
          <cell r="J142">
            <v>0.17098485999999999</v>
          </cell>
          <cell r="K142">
            <v>0.16905144999999999</v>
          </cell>
          <cell r="L142">
            <v>0.16619791</v>
          </cell>
          <cell r="M142">
            <v>0.16393037999999999</v>
          </cell>
          <cell r="N142">
            <v>0.16019385999999999</v>
          </cell>
          <cell r="O142">
            <v>0.14417110999999999</v>
          </cell>
          <cell r="P142">
            <v>0.13908677999999999</v>
          </cell>
        </row>
        <row r="143">
          <cell r="A143" t="str">
            <v>CR.USD.CORP.ALLSEC.CCC.SPRD.PAR#3Y</v>
          </cell>
          <cell r="B143" t="str">
            <v>UNITED STATES CORP ALLSECTOR CCC 3Y PAR SPREAD OVER GOVT</v>
          </cell>
          <cell r="C143" t="str">
            <v>Credit Spread Risk</v>
          </cell>
          <cell r="D143">
            <v>1</v>
          </cell>
          <cell r="E143" t="str">
            <v>N/A</v>
          </cell>
          <cell r="F143" t="str">
            <v>Decimal</v>
          </cell>
          <cell r="G143">
            <v>8.9837799999999995E-2</v>
          </cell>
          <cell r="H143">
            <v>8.9688009999999999E-2</v>
          </cell>
          <cell r="I143">
            <v>0.19820276000000001</v>
          </cell>
          <cell r="J143">
            <v>0.18680559999999999</v>
          </cell>
          <cell r="K143">
            <v>0.18379140999999999</v>
          </cell>
          <cell r="L143">
            <v>0.17980652999999999</v>
          </cell>
          <cell r="M143">
            <v>0.17714490999999999</v>
          </cell>
          <cell r="N143">
            <v>0.17333045999999999</v>
          </cell>
          <cell r="O143">
            <v>0.15819685</v>
          </cell>
          <cell r="P143">
            <v>0.15282069000000001</v>
          </cell>
        </row>
        <row r="144">
          <cell r="A144" t="str">
            <v>CR.USD.CORP.ALLSEC.CCC.SPRD.PAR#5Y</v>
          </cell>
          <cell r="B144" t="str">
            <v>UNITED STATES CORP ALLSECTOR CCC 5Y PAR SPREAD OVER GOVT</v>
          </cell>
          <cell r="C144" t="str">
            <v>Credit Spread Risk</v>
          </cell>
          <cell r="D144">
            <v>1</v>
          </cell>
          <cell r="E144" t="str">
            <v>N/A</v>
          </cell>
          <cell r="F144" t="str">
            <v>Decimal</v>
          </cell>
          <cell r="G144">
            <v>8.901452E-2</v>
          </cell>
          <cell r="H144">
            <v>8.8684840000000001E-2</v>
          </cell>
          <cell r="I144">
            <v>0.19649997</v>
          </cell>
          <cell r="J144">
            <v>0.18506512999999999</v>
          </cell>
          <cell r="K144">
            <v>0.18194845000000001</v>
          </cell>
          <cell r="L144">
            <v>0.17833251999999999</v>
          </cell>
          <cell r="M144">
            <v>0.17593537000000001</v>
          </cell>
          <cell r="N144">
            <v>0.17235434999999999</v>
          </cell>
          <cell r="O144">
            <v>0.1573272</v>
          </cell>
          <cell r="P144">
            <v>0.15189519000000001</v>
          </cell>
        </row>
        <row r="145">
          <cell r="A145" t="str">
            <v>CR.USD.CORP.ALLSEC.CCC.SPRD.PAR#7Y</v>
          </cell>
          <cell r="B145" t="str">
            <v>UNITED STATES CORP ALLSECTOR CCC 7Y PAR SPREAD OVER GOVT</v>
          </cell>
          <cell r="C145" t="str">
            <v>Credit Spread Risk</v>
          </cell>
          <cell r="D145">
            <v>1</v>
          </cell>
          <cell r="E145" t="str">
            <v>N/A</v>
          </cell>
          <cell r="F145" t="str">
            <v>Decimal</v>
          </cell>
          <cell r="G145">
            <v>8.8335109999999994E-2</v>
          </cell>
          <cell r="H145">
            <v>8.7972320000000007E-2</v>
          </cell>
          <cell r="I145">
            <v>0.19324902999999999</v>
          </cell>
          <cell r="J145">
            <v>0.18207324</v>
          </cell>
          <cell r="K145">
            <v>0.17945127</v>
          </cell>
          <cell r="L145">
            <v>0.17615817</v>
          </cell>
          <cell r="M145">
            <v>0.17391346999999999</v>
          </cell>
          <cell r="N145">
            <v>0.17034079999999999</v>
          </cell>
          <cell r="O145">
            <v>0.15486516</v>
          </cell>
          <cell r="P145">
            <v>0.14967411999999999</v>
          </cell>
        </row>
        <row r="146">
          <cell r="A146" t="str">
            <v>CR.USD.CORP.ALLSEC.CCC.SPRD.SIMPLE#12M</v>
          </cell>
          <cell r="B146" t="str">
            <v>UNITED STATES CORP ALLSECTOR CCC 12M SIMPLE SPREAD OVER GOVT</v>
          </cell>
          <cell r="C146" t="str">
            <v>Credit Spread Risk</v>
          </cell>
          <cell r="D146">
            <v>1</v>
          </cell>
          <cell r="E146" t="str">
            <v>N/A</v>
          </cell>
          <cell r="F146" t="str">
            <v>Decimal</v>
          </cell>
          <cell r="G146">
            <v>8.9338039999999994E-2</v>
          </cell>
          <cell r="H146">
            <v>8.9561779999999994E-2</v>
          </cell>
          <cell r="I146">
            <v>0.1965587</v>
          </cell>
          <cell r="J146">
            <v>0.18463029</v>
          </cell>
          <cell r="K146">
            <v>0.18084262000000001</v>
          </cell>
          <cell r="L146">
            <v>0.1766296</v>
          </cell>
          <cell r="M146">
            <v>0.17390483000000001</v>
          </cell>
          <cell r="N146">
            <v>0.17038623999999999</v>
          </cell>
          <cell r="O146">
            <v>0.15608</v>
          </cell>
          <cell r="P146">
            <v>0.15127924000000001</v>
          </cell>
        </row>
        <row r="147">
          <cell r="A147" t="str">
            <v>CR.USD.CORP.ALLSEC.CCC.SPRD.SIMPLE#1M</v>
          </cell>
          <cell r="B147" t="str">
            <v>UNITED STATES CORP ALLSECTOR CCC 1M SIMPLE SPREAD OVER GOVT</v>
          </cell>
          <cell r="C147" t="str">
            <v>Credit Spread Risk</v>
          </cell>
          <cell r="D147">
            <v>1</v>
          </cell>
          <cell r="E147" t="str">
            <v>N/A</v>
          </cell>
          <cell r="F147" t="str">
            <v>Decimal</v>
          </cell>
          <cell r="G147">
            <v>8.9189199999999996E-2</v>
          </cell>
          <cell r="H147">
            <v>8.9257260000000005E-2</v>
          </cell>
          <cell r="I147">
            <v>0.19671965</v>
          </cell>
          <cell r="J147">
            <v>0.18516202000000001</v>
          </cell>
          <cell r="K147">
            <v>0.18340429999999999</v>
          </cell>
          <cell r="L147">
            <v>0.17870637</v>
          </cell>
          <cell r="M147">
            <v>0.17466532000000001</v>
          </cell>
          <cell r="N147">
            <v>0.16994844000000001</v>
          </cell>
          <cell r="O147">
            <v>0.15566373999999999</v>
          </cell>
          <cell r="P147">
            <v>0.15084800000000001</v>
          </cell>
        </row>
        <row r="148">
          <cell r="A148" t="str">
            <v>CR.USD.CORP.ALLSEC.CCC.SPRD.SIMPLE#3M</v>
          </cell>
          <cell r="B148" t="str">
            <v>UNITED STATES CORP ALLSECTOR CCC 3M SIMPLE SPREAD OVER GOVT</v>
          </cell>
          <cell r="C148" t="str">
            <v>Credit Spread Risk</v>
          </cell>
          <cell r="D148">
            <v>1</v>
          </cell>
          <cell r="E148" t="str">
            <v>N/A</v>
          </cell>
          <cell r="F148" t="str">
            <v>Decimal</v>
          </cell>
          <cell r="G148">
            <v>8.9137560000000005E-2</v>
          </cell>
          <cell r="H148">
            <v>8.9282159999999999E-2</v>
          </cell>
          <cell r="I148">
            <v>0.19671764</v>
          </cell>
          <cell r="J148">
            <v>0.18470687999999999</v>
          </cell>
          <cell r="K148">
            <v>0.18298506</v>
          </cell>
          <cell r="L148">
            <v>0.17805915999999999</v>
          </cell>
          <cell r="M148">
            <v>0.17427305000000001</v>
          </cell>
          <cell r="N148">
            <v>0.16962151</v>
          </cell>
          <cell r="O148">
            <v>0.15561258</v>
          </cell>
          <cell r="P148">
            <v>0.15055088999999999</v>
          </cell>
        </row>
        <row r="149">
          <cell r="A149" t="str">
            <v>CR.USD.CORP.ALLSEC.CCC.SPRD.SIMPLE#6M</v>
          </cell>
          <cell r="B149" t="str">
            <v>UNITED STATES CORP ALLSECTOR CCC 6M SIMPLE SPREAD OVER GOVT</v>
          </cell>
          <cell r="C149" t="str">
            <v>Credit Spread Risk</v>
          </cell>
          <cell r="D149">
            <v>1</v>
          </cell>
          <cell r="E149" t="str">
            <v>N/A</v>
          </cell>
          <cell r="F149" t="str">
            <v>Decimal</v>
          </cell>
          <cell r="G149">
            <v>8.9251220000000006E-2</v>
          </cell>
          <cell r="H149">
            <v>8.9454149999999996E-2</v>
          </cell>
          <cell r="I149">
            <v>0.19638091999999999</v>
          </cell>
          <cell r="J149">
            <v>0.18538925000000001</v>
          </cell>
          <cell r="K149">
            <v>0.18220275</v>
          </cell>
          <cell r="L149">
            <v>0.17729302999999999</v>
          </cell>
          <cell r="M149">
            <v>0.17376226</v>
          </cell>
          <cell r="N149">
            <v>0.17005720999999999</v>
          </cell>
          <cell r="O149">
            <v>0.15561762000000001</v>
          </cell>
          <cell r="P149">
            <v>0.15084106999999999</v>
          </cell>
        </row>
        <row r="150">
          <cell r="A150" t="str">
            <v>CR.USD.CORP.FINANCE.A.SPRD.PAR#10Y</v>
          </cell>
          <cell r="B150" t="str">
            <v>UNITED STATES CORP FINANCE A 10Y PAR SPREAD OVER GOVT</v>
          </cell>
          <cell r="C150" t="str">
            <v>Credit Spread Risk</v>
          </cell>
          <cell r="D150">
            <v>1</v>
          </cell>
          <cell r="E150" t="str">
            <v>N/A</v>
          </cell>
          <cell r="F150" t="str">
            <v>Decimal</v>
          </cell>
          <cell r="G150">
            <v>1.2319480000000001E-2</v>
          </cell>
          <cell r="H150">
            <v>1.262309E-2</v>
          </cell>
          <cell r="I150">
            <v>3.1251790000000002E-2</v>
          </cell>
          <cell r="J150">
            <v>2.83763E-2</v>
          </cell>
          <cell r="K150">
            <v>2.7767759999999999E-2</v>
          </cell>
          <cell r="L150">
            <v>2.649023E-2</v>
          </cell>
          <cell r="M150">
            <v>2.5392040000000001E-2</v>
          </cell>
          <cell r="N150">
            <v>2.4013360000000001E-2</v>
          </cell>
          <cell r="O150">
            <v>2.0284219999999999E-2</v>
          </cell>
          <cell r="P150">
            <v>2.0060430000000001E-2</v>
          </cell>
        </row>
        <row r="151">
          <cell r="A151" t="str">
            <v>CR.USD.CORP.FINANCE.A.SPRD.PAR#15Y</v>
          </cell>
          <cell r="B151" t="str">
            <v>UNITED STATES CORP FINANCE A 15Y PAR SPREAD OVER GOVT</v>
          </cell>
          <cell r="C151" t="str">
            <v>Credit Spread Risk</v>
          </cell>
          <cell r="D151">
            <v>1</v>
          </cell>
          <cell r="E151" t="str">
            <v>N/A</v>
          </cell>
          <cell r="F151" t="str">
            <v>Decimal</v>
          </cell>
          <cell r="G151">
            <v>1.4308380000000001E-2</v>
          </cell>
          <cell r="H151">
            <v>1.450392E-2</v>
          </cell>
          <cell r="I151">
            <v>3.1928289999999998E-2</v>
          </cell>
          <cell r="J151">
            <v>2.9295060000000001E-2</v>
          </cell>
          <cell r="K151">
            <v>2.829247E-2</v>
          </cell>
          <cell r="L151">
            <v>2.6849810000000002E-2</v>
          </cell>
          <cell r="M151">
            <v>2.557253E-2</v>
          </cell>
          <cell r="N151">
            <v>2.416623E-2</v>
          </cell>
          <cell r="O151">
            <v>2.1203389999999999E-2</v>
          </cell>
          <cell r="P151">
            <v>2.0699559999999999E-2</v>
          </cell>
        </row>
        <row r="152">
          <cell r="A152" t="str">
            <v>CR.USD.CORP.FINANCE.A.SPRD.PAR#20Y</v>
          </cell>
          <cell r="B152" t="str">
            <v>UNITED STATES CORP FINANCE A 20Y PAR SPREAD OVER GOVT</v>
          </cell>
          <cell r="C152" t="str">
            <v>Credit Spread Risk</v>
          </cell>
          <cell r="D152">
            <v>1</v>
          </cell>
          <cell r="E152" t="str">
            <v>N/A</v>
          </cell>
          <cell r="F152" t="str">
            <v>Decimal</v>
          </cell>
          <cell r="G152">
            <v>1.467338E-2</v>
          </cell>
          <cell r="H152">
            <v>1.479332E-2</v>
          </cell>
          <cell r="I152">
            <v>3.1376630000000003E-2</v>
          </cell>
          <cell r="J152">
            <v>2.8604669999999999E-2</v>
          </cell>
          <cell r="K152">
            <v>2.7404040000000001E-2</v>
          </cell>
          <cell r="L152">
            <v>2.5888999999999999E-2</v>
          </cell>
          <cell r="M152">
            <v>2.4554920000000001E-2</v>
          </cell>
          <cell r="N152">
            <v>2.3156280000000001E-2</v>
          </cell>
          <cell r="O152">
            <v>2.0436070000000001E-2</v>
          </cell>
          <cell r="P152">
            <v>1.9911149999999999E-2</v>
          </cell>
        </row>
        <row r="153">
          <cell r="A153" t="str">
            <v>CR.USD.CORP.FINANCE.A.SPRD.PAR#2Y</v>
          </cell>
          <cell r="B153" t="str">
            <v>UNITED STATES CORP FINANCE A 2Y PAR SPREAD OVER GOVT</v>
          </cell>
          <cell r="C153" t="str">
            <v>Credit Spread Risk</v>
          </cell>
          <cell r="D153">
            <v>1</v>
          </cell>
          <cell r="E153" t="str">
            <v>N/A</v>
          </cell>
          <cell r="F153" t="str">
            <v>Decimal</v>
          </cell>
          <cell r="G153">
            <v>5.9918699999999998E-3</v>
          </cell>
          <cell r="H153">
            <v>6.3073199999999999E-3</v>
          </cell>
          <cell r="I153">
            <v>2.6366850000000001E-2</v>
          </cell>
          <cell r="J153">
            <v>2.3075470000000001E-2</v>
          </cell>
          <cell r="K153">
            <v>2.2669140000000001E-2</v>
          </cell>
          <cell r="L153">
            <v>2.1211379999999998E-2</v>
          </cell>
          <cell r="M153">
            <v>2.0184230000000001E-2</v>
          </cell>
          <cell r="N153">
            <v>1.9110530000000001E-2</v>
          </cell>
          <cell r="O153">
            <v>1.5702959999999998E-2</v>
          </cell>
          <cell r="P153">
            <v>1.556213E-2</v>
          </cell>
        </row>
        <row r="154">
          <cell r="A154" t="str">
            <v>CR.USD.CORP.FINANCE.A.SPRD.PAR#30Y</v>
          </cell>
          <cell r="B154" t="str">
            <v>UNITED STATES CORP FINANCE A 30Y PAR SPREAD OVER GOVT</v>
          </cell>
          <cell r="C154" t="str">
            <v>Credit Spread Risk</v>
          </cell>
          <cell r="D154">
            <v>1</v>
          </cell>
          <cell r="E154" t="str">
            <v>N/A</v>
          </cell>
          <cell r="F154" t="str">
            <v>Decimal</v>
          </cell>
          <cell r="G154">
            <v>1.5353E-2</v>
          </cell>
          <cell r="H154">
            <v>1.546499E-2</v>
          </cell>
          <cell r="I154">
            <v>3.1661149999999999E-2</v>
          </cell>
          <cell r="J154">
            <v>2.9215540000000002E-2</v>
          </cell>
          <cell r="K154">
            <v>2.8321450000000001E-2</v>
          </cell>
          <cell r="L154">
            <v>2.709599E-2</v>
          </cell>
          <cell r="M154">
            <v>2.6007860000000001E-2</v>
          </cell>
          <cell r="N154">
            <v>2.4819569999999999E-2</v>
          </cell>
          <cell r="O154">
            <v>2.2081489999999999E-2</v>
          </cell>
          <cell r="P154">
            <v>2.1500370000000001E-2</v>
          </cell>
        </row>
        <row r="155">
          <cell r="A155" t="str">
            <v>CR.USD.CORP.FINANCE.A.SPRD.PAR#3Y</v>
          </cell>
          <cell r="B155" t="str">
            <v>UNITED STATES CORP FINANCE A 3Y PAR SPREAD OVER GOVT</v>
          </cell>
          <cell r="C155" t="str">
            <v>Credit Spread Risk</v>
          </cell>
          <cell r="D155">
            <v>1</v>
          </cell>
          <cell r="E155" t="str">
            <v>N/A</v>
          </cell>
          <cell r="F155" t="str">
            <v>Decimal</v>
          </cell>
          <cell r="G155">
            <v>7.0180700000000004E-3</v>
          </cell>
          <cell r="H155">
            <v>7.5150700000000004E-3</v>
          </cell>
          <cell r="I155">
            <v>2.7714389999999998E-2</v>
          </cell>
          <cell r="J155">
            <v>2.4647780000000001E-2</v>
          </cell>
          <cell r="K155">
            <v>2.4391429999999999E-2</v>
          </cell>
          <cell r="L155">
            <v>2.268539E-2</v>
          </cell>
          <cell r="M155">
            <v>2.12976E-2</v>
          </cell>
          <cell r="N155">
            <v>1.970392E-2</v>
          </cell>
          <cell r="O155">
            <v>1.5627019999999998E-2</v>
          </cell>
          <cell r="P155">
            <v>1.551131E-2</v>
          </cell>
        </row>
        <row r="156">
          <cell r="A156" t="str">
            <v>CR.USD.CORP.FINANCE.A.SPRD.PAR#5Y</v>
          </cell>
          <cell r="B156" t="str">
            <v>UNITED STATES CORP FINANCE A 5Y PAR SPREAD OVER GOVT</v>
          </cell>
          <cell r="C156" t="str">
            <v>Credit Spread Risk</v>
          </cell>
          <cell r="D156">
            <v>1</v>
          </cell>
          <cell r="E156" t="str">
            <v>N/A</v>
          </cell>
          <cell r="F156" t="str">
            <v>Decimal</v>
          </cell>
          <cell r="G156">
            <v>8.9394999999999995E-3</v>
          </cell>
          <cell r="H156">
            <v>9.2373999999999998E-3</v>
          </cell>
          <cell r="I156">
            <v>2.9062129999999999E-2</v>
          </cell>
          <cell r="J156">
            <v>2.5727300000000002E-2</v>
          </cell>
          <cell r="K156">
            <v>2.5077410000000001E-2</v>
          </cell>
          <cell r="L156">
            <v>2.3620530000000001E-2</v>
          </cell>
          <cell r="M156">
            <v>2.2449670000000001E-2</v>
          </cell>
          <cell r="N156">
            <v>2.104427E-2</v>
          </cell>
          <cell r="O156">
            <v>1.713833E-2</v>
          </cell>
          <cell r="P156">
            <v>1.6985E-2</v>
          </cell>
        </row>
        <row r="157">
          <cell r="A157" t="str">
            <v>CR.USD.CORP.FINANCE.A.SPRD.PAR#7Y</v>
          </cell>
          <cell r="B157" t="str">
            <v>UNITED STATES CORP FINANCE A 7Y PAR SPREAD OVER GOVT</v>
          </cell>
          <cell r="C157" t="str">
            <v>Credit Spread Risk</v>
          </cell>
          <cell r="D157">
            <v>1</v>
          </cell>
          <cell r="E157" t="str">
            <v>N/A</v>
          </cell>
          <cell r="F157" t="str">
            <v>Decimal</v>
          </cell>
          <cell r="G157">
            <v>1.050454E-2</v>
          </cell>
          <cell r="H157">
            <v>1.077906E-2</v>
          </cell>
          <cell r="I157">
            <v>3.0077900000000001E-2</v>
          </cell>
          <cell r="J157">
            <v>2.694413E-2</v>
          </cell>
          <cell r="K157">
            <v>2.632371E-2</v>
          </cell>
          <cell r="L157">
            <v>2.4966180000000001E-2</v>
          </cell>
          <cell r="M157">
            <v>2.384402E-2</v>
          </cell>
          <cell r="N157">
            <v>2.2451240000000001E-2</v>
          </cell>
          <cell r="O157">
            <v>1.8593309999999998E-2</v>
          </cell>
          <cell r="P157">
            <v>1.8503970000000002E-2</v>
          </cell>
        </row>
        <row r="158">
          <cell r="A158" t="str">
            <v>CR.USD.CORP.FINANCE.A.SPRD.SIMPLE#12M</v>
          </cell>
          <cell r="B158" t="str">
            <v>UNITED STATES CORP FINANCE A 12M SIMPLE SPREAD OVER GOVT</v>
          </cell>
          <cell r="C158" t="str">
            <v>Credit Spread Risk</v>
          </cell>
          <cell r="D158">
            <v>1</v>
          </cell>
          <cell r="E158" t="str">
            <v>N/A</v>
          </cell>
          <cell r="F158" t="str">
            <v>Decimal</v>
          </cell>
          <cell r="G158">
            <v>5.1356099999999997E-3</v>
          </cell>
          <cell r="H158">
            <v>5.8269300000000001E-3</v>
          </cell>
          <cell r="I158">
            <v>2.5649559999999998E-2</v>
          </cell>
          <cell r="J158">
            <v>2.20634E-2</v>
          </cell>
          <cell r="K158">
            <v>2.1141179999999999E-2</v>
          </cell>
          <cell r="L158">
            <v>1.925224E-2</v>
          </cell>
          <cell r="M158">
            <v>1.7909910000000001E-2</v>
          </cell>
          <cell r="N158">
            <v>1.6719390000000001E-2</v>
          </cell>
          <cell r="O158">
            <v>1.3421219999999999E-2</v>
          </cell>
          <cell r="P158">
            <v>1.3892E-2</v>
          </cell>
        </row>
        <row r="159">
          <cell r="A159" t="str">
            <v>CR.USD.CORP.FINANCE.A.SPRD.SIMPLE#1M</v>
          </cell>
          <cell r="B159" t="str">
            <v>UNITED STATES CORP FINANCE A 1M SIMPLE SPREAD OVER GOVT</v>
          </cell>
          <cell r="C159" t="str">
            <v>Credit Spread Risk</v>
          </cell>
          <cell r="D159">
            <v>1</v>
          </cell>
          <cell r="E159" t="str">
            <v>N/A</v>
          </cell>
          <cell r="F159" t="str">
            <v>Decimal</v>
          </cell>
          <cell r="G159">
            <v>4.9834900000000001E-3</v>
          </cell>
          <cell r="H159">
            <v>5.1169500000000003E-3</v>
          </cell>
          <cell r="I159">
            <v>2.488566E-2</v>
          </cell>
          <cell r="J159">
            <v>2.0958500000000001E-2</v>
          </cell>
          <cell r="K159">
            <v>2.2372920000000001E-2</v>
          </cell>
          <cell r="L159">
            <v>1.9944E-2</v>
          </cell>
          <cell r="M159">
            <v>1.7273380000000001E-2</v>
          </cell>
          <cell r="N159">
            <v>1.486239E-2</v>
          </cell>
          <cell r="O159">
            <v>1.165421E-2</v>
          </cell>
          <cell r="P159">
            <v>1.2175139999999999E-2</v>
          </cell>
        </row>
        <row r="160">
          <cell r="A160" t="str">
            <v>CR.USD.CORP.FINANCE.A.SPRD.SIMPLE#3M</v>
          </cell>
          <cell r="B160" t="str">
            <v>UNITED STATES CORP FINANCE A 3M SIMPLE SPREAD OVER GOVT</v>
          </cell>
          <cell r="C160" t="str">
            <v>Credit Spread Risk</v>
          </cell>
          <cell r="D160">
            <v>1</v>
          </cell>
          <cell r="E160" t="str">
            <v>N/A</v>
          </cell>
          <cell r="F160" t="str">
            <v>Decimal</v>
          </cell>
          <cell r="G160">
            <v>4.9318399999999998E-3</v>
          </cell>
          <cell r="H160">
            <v>5.1483500000000003E-3</v>
          </cell>
          <cell r="I160">
            <v>2.48957E-2</v>
          </cell>
          <cell r="J160">
            <v>2.0573370000000001E-2</v>
          </cell>
          <cell r="K160">
            <v>2.2178880000000002E-2</v>
          </cell>
          <cell r="L160">
            <v>1.9563469999999999E-2</v>
          </cell>
          <cell r="M160">
            <v>1.7103960000000001E-2</v>
          </cell>
          <cell r="N160">
            <v>1.4777510000000001E-2</v>
          </cell>
          <cell r="O160">
            <v>1.186829E-2</v>
          </cell>
          <cell r="P160">
            <v>1.219422E-2</v>
          </cell>
        </row>
        <row r="161">
          <cell r="A161" t="str">
            <v>CR.USD.CORP.FINANCE.A.SPRD.SIMPLE#6M</v>
          </cell>
          <cell r="B161" t="str">
            <v>UNITED STATES CORP FINANCE A 6M SIMPLE SPREAD OVER GOVT</v>
          </cell>
          <cell r="C161" t="str">
            <v>Credit Spread Risk</v>
          </cell>
          <cell r="D161">
            <v>1</v>
          </cell>
          <cell r="E161" t="str">
            <v>N/A</v>
          </cell>
          <cell r="F161" t="str">
            <v>Decimal</v>
          </cell>
          <cell r="G161">
            <v>5.0463000000000001E-3</v>
          </cell>
          <cell r="H161">
            <v>5.33404E-3</v>
          </cell>
          <cell r="I161">
            <v>2.460325E-2</v>
          </cell>
          <cell r="J161">
            <v>2.1959320000000001E-2</v>
          </cell>
          <cell r="K161">
            <v>2.1801419999999998E-2</v>
          </cell>
          <cell r="L161">
            <v>1.9165519999999998E-2</v>
          </cell>
          <cell r="M161">
            <v>1.6959869999999998E-2</v>
          </cell>
          <cell r="N161">
            <v>1.5621609999999999E-2</v>
          </cell>
          <cell r="O161">
            <v>1.223842E-2</v>
          </cell>
          <cell r="P161">
            <v>1.2817540000000001E-2</v>
          </cell>
        </row>
        <row r="162">
          <cell r="A162" t="str">
            <v>CR.USD.CORP.FINANCE.AA.SPRD.PAR#10Y</v>
          </cell>
          <cell r="B162" t="str">
            <v>UNITED STATES CORP FINANCE AA 10Y PAR SPREAD OVER GOVT</v>
          </cell>
          <cell r="C162" t="str">
            <v>Credit Spread Risk</v>
          </cell>
          <cell r="D162">
            <v>1</v>
          </cell>
          <cell r="E162" t="str">
            <v>N/A</v>
          </cell>
          <cell r="F162" t="str">
            <v>Decimal</v>
          </cell>
          <cell r="G162">
            <v>9.9267799999999996E-3</v>
          </cell>
          <cell r="H162">
            <v>1.019922E-2</v>
          </cell>
          <cell r="I162">
            <v>2.4783610000000001E-2</v>
          </cell>
          <cell r="J162">
            <v>2.274164E-2</v>
          </cell>
          <cell r="K162">
            <v>2.215205E-2</v>
          </cell>
          <cell r="L162">
            <v>2.1189179999999998E-2</v>
          </cell>
          <cell r="M162">
            <v>2.0401809999999999E-2</v>
          </cell>
          <cell r="N162">
            <v>1.9494910000000001E-2</v>
          </cell>
          <cell r="O162">
            <v>1.7094080000000001E-2</v>
          </cell>
          <cell r="P162">
            <v>1.6882069999999999E-2</v>
          </cell>
        </row>
        <row r="163">
          <cell r="A163" t="str">
            <v>CR.USD.CORP.FINANCE.AA.SPRD.PAR#15Y</v>
          </cell>
          <cell r="B163" t="str">
            <v>UNITED STATES CORP FINANCE AA 15Y PAR SPREAD OVER GOVT</v>
          </cell>
          <cell r="C163" t="str">
            <v>Credit Spread Risk</v>
          </cell>
          <cell r="D163">
            <v>1</v>
          </cell>
          <cell r="E163" t="str">
            <v>N/A</v>
          </cell>
          <cell r="F163" t="str">
            <v>Decimal</v>
          </cell>
          <cell r="G163">
            <v>1.1874549999999999E-2</v>
          </cell>
          <cell r="H163">
            <v>1.204394E-2</v>
          </cell>
          <cell r="I163">
            <v>2.6139099999999998E-2</v>
          </cell>
          <cell r="J163">
            <v>2.4246940000000002E-2</v>
          </cell>
          <cell r="K163">
            <v>2.3224310000000001E-2</v>
          </cell>
          <cell r="L163">
            <v>2.2025650000000001E-2</v>
          </cell>
          <cell r="M163">
            <v>2.099082E-2</v>
          </cell>
          <cell r="N163">
            <v>1.9974740000000001E-2</v>
          </cell>
          <cell r="O163">
            <v>1.817854E-2</v>
          </cell>
          <cell r="P163">
            <v>1.7651030000000002E-2</v>
          </cell>
        </row>
        <row r="164">
          <cell r="A164" t="str">
            <v>CR.USD.CORP.FINANCE.AA.SPRD.PAR#20Y</v>
          </cell>
          <cell r="B164" t="str">
            <v>UNITED STATES CORP FINANCE AA 20Y PAR SPREAD OVER GOVT</v>
          </cell>
          <cell r="C164" t="str">
            <v>Credit Spread Risk</v>
          </cell>
          <cell r="D164">
            <v>1</v>
          </cell>
          <cell r="E164" t="str">
            <v>N/A</v>
          </cell>
          <cell r="F164" t="str">
            <v>Decimal</v>
          </cell>
          <cell r="G164">
            <v>1.2167870000000001E-2</v>
          </cell>
          <cell r="H164">
            <v>1.226827E-2</v>
          </cell>
          <cell r="I164">
            <v>2.6018389999999999E-2</v>
          </cell>
          <cell r="J164">
            <v>2.3914009999999999E-2</v>
          </cell>
          <cell r="K164">
            <v>2.260966E-2</v>
          </cell>
          <cell r="L164">
            <v>2.1276819999999998E-2</v>
          </cell>
          <cell r="M164">
            <v>2.013831E-2</v>
          </cell>
          <cell r="N164">
            <v>1.9098799999999999E-2</v>
          </cell>
          <cell r="O164">
            <v>1.7549080000000002E-2</v>
          </cell>
          <cell r="P164">
            <v>1.696342E-2</v>
          </cell>
        </row>
        <row r="165">
          <cell r="A165" t="str">
            <v>CR.USD.CORP.FINANCE.AA.SPRD.PAR#2Y</v>
          </cell>
          <cell r="B165" t="str">
            <v>UNITED STATES CORP FINANCE AA 2Y PAR SPREAD OVER GOVT</v>
          </cell>
          <cell r="C165" t="str">
            <v>Credit Spread Risk</v>
          </cell>
          <cell r="D165">
            <v>1</v>
          </cell>
          <cell r="E165" t="str">
            <v>N/A</v>
          </cell>
          <cell r="F165" t="str">
            <v>Decimal</v>
          </cell>
          <cell r="G165">
            <v>3.78203E-3</v>
          </cell>
          <cell r="H165">
            <v>3.8642899999999998E-3</v>
          </cell>
          <cell r="I165">
            <v>1.786428E-2</v>
          </cell>
          <cell r="J165">
            <v>1.543835E-2</v>
          </cell>
          <cell r="K165">
            <v>1.496948E-2</v>
          </cell>
          <cell r="L165">
            <v>1.3934739999999999E-2</v>
          </cell>
          <cell r="M165">
            <v>1.332446E-2</v>
          </cell>
          <cell r="N165">
            <v>1.2863889999999999E-2</v>
          </cell>
          <cell r="O165">
            <v>1.1052370000000001E-2</v>
          </cell>
          <cell r="P165">
            <v>1.1060800000000001E-2</v>
          </cell>
        </row>
        <row r="166">
          <cell r="A166" t="str">
            <v>CR.USD.CORP.FINANCE.AA.SPRD.PAR#30Y</v>
          </cell>
          <cell r="B166" t="str">
            <v>UNITED STATES CORP FINANCE AA 30Y PAR SPREAD OVER GOVT</v>
          </cell>
          <cell r="C166" t="str">
            <v>Credit Spread Risk</v>
          </cell>
          <cell r="D166">
            <v>1</v>
          </cell>
          <cell r="E166" t="str">
            <v>N/A</v>
          </cell>
          <cell r="F166" t="str">
            <v>Decimal</v>
          </cell>
          <cell r="G166">
            <v>1.2750050000000001E-2</v>
          </cell>
          <cell r="H166">
            <v>1.2852219999999999E-2</v>
          </cell>
          <cell r="I166">
            <v>2.6719719999999999E-2</v>
          </cell>
          <cell r="J166">
            <v>2.4867980000000001E-2</v>
          </cell>
          <cell r="K166">
            <v>2.3869399999999999E-2</v>
          </cell>
          <cell r="L166">
            <v>2.2799219999999999E-2</v>
          </cell>
          <cell r="M166">
            <v>2.188495E-2</v>
          </cell>
          <cell r="N166">
            <v>2.1013569999999999E-2</v>
          </cell>
          <cell r="O166">
            <v>1.929643E-2</v>
          </cell>
          <cell r="P166">
            <v>1.8652180000000001E-2</v>
          </cell>
        </row>
        <row r="167">
          <cell r="A167" t="str">
            <v>CR.USD.CORP.FINANCE.AA.SPRD.PAR#3Y</v>
          </cell>
          <cell r="B167" t="str">
            <v>UNITED STATES CORP FINANCE AA 3Y PAR SPREAD OVER GOVT</v>
          </cell>
          <cell r="C167" t="str">
            <v>Credit Spread Risk</v>
          </cell>
          <cell r="D167">
            <v>1</v>
          </cell>
          <cell r="E167" t="str">
            <v>N/A</v>
          </cell>
          <cell r="F167" t="str">
            <v>Decimal</v>
          </cell>
          <cell r="G167">
            <v>4.4335900000000003E-3</v>
          </cell>
          <cell r="H167">
            <v>4.7920200000000001E-3</v>
          </cell>
          <cell r="I167">
            <v>1.9059679999999999E-2</v>
          </cell>
          <cell r="J167">
            <v>1.698471E-2</v>
          </cell>
          <cell r="K167">
            <v>1.6818900000000001E-2</v>
          </cell>
          <cell r="L167">
            <v>1.5579330000000001E-2</v>
          </cell>
          <cell r="M167">
            <v>1.463705E-2</v>
          </cell>
          <cell r="N167">
            <v>1.367136E-2</v>
          </cell>
          <cell r="O167">
            <v>1.119175E-2</v>
          </cell>
          <cell r="P167">
            <v>1.1224140000000001E-2</v>
          </cell>
        </row>
        <row r="168">
          <cell r="A168" t="str">
            <v>CR.USD.CORP.FINANCE.AA.SPRD.PAR#5Y</v>
          </cell>
          <cell r="B168" t="str">
            <v>UNITED STATES CORP FINANCE AA 5Y PAR SPREAD OVER GOVT</v>
          </cell>
          <cell r="C168" t="str">
            <v>Credit Spread Risk</v>
          </cell>
          <cell r="D168">
            <v>1</v>
          </cell>
          <cell r="E168" t="str">
            <v>N/A</v>
          </cell>
          <cell r="F168" t="str">
            <v>Decimal</v>
          </cell>
          <cell r="G168">
            <v>6.3178799999999997E-3</v>
          </cell>
          <cell r="H168">
            <v>6.5615700000000001E-3</v>
          </cell>
          <cell r="I168">
            <v>2.0576279999999999E-2</v>
          </cell>
          <cell r="J168">
            <v>1.8315080000000001E-2</v>
          </cell>
          <cell r="K168">
            <v>1.7846520000000001E-2</v>
          </cell>
          <cell r="L168">
            <v>1.6872649999999999E-2</v>
          </cell>
          <cell r="M168">
            <v>1.6152090000000001E-2</v>
          </cell>
          <cell r="N168">
            <v>1.536266E-2</v>
          </cell>
          <cell r="O168">
            <v>1.3024259999999999E-2</v>
          </cell>
          <cell r="P168">
            <v>1.299845E-2</v>
          </cell>
        </row>
        <row r="169">
          <cell r="A169" t="str">
            <v>CR.USD.CORP.FINANCE.AA.SPRD.PAR#7Y</v>
          </cell>
          <cell r="B169" t="str">
            <v>UNITED STATES CORP FINANCE AA 7Y PAR SPREAD OVER GOVT</v>
          </cell>
          <cell r="C169" t="str">
            <v>Credit Spread Risk</v>
          </cell>
          <cell r="D169">
            <v>1</v>
          </cell>
          <cell r="E169" t="str">
            <v>N/A</v>
          </cell>
          <cell r="F169" t="str">
            <v>Decimal</v>
          </cell>
          <cell r="G169">
            <v>8.0226199999999994E-3</v>
          </cell>
          <cell r="H169">
            <v>8.2622000000000008E-3</v>
          </cell>
          <cell r="I169">
            <v>2.2500740000000002E-2</v>
          </cell>
          <cell r="J169">
            <v>2.0345829999999999E-2</v>
          </cell>
          <cell r="K169">
            <v>1.9844669999999998E-2</v>
          </cell>
          <cell r="L169">
            <v>1.8900400000000001E-2</v>
          </cell>
          <cell r="M169">
            <v>1.8169970000000001E-2</v>
          </cell>
          <cell r="N169">
            <v>1.7330849999999998E-2</v>
          </cell>
          <cell r="O169">
            <v>1.493942E-2</v>
          </cell>
          <cell r="P169">
            <v>1.4928189999999999E-2</v>
          </cell>
        </row>
        <row r="170">
          <cell r="A170" t="str">
            <v>CR.USD.CORP.FINANCE.AA.SPRD.SIMPLE#12M</v>
          </cell>
          <cell r="B170" t="str">
            <v>UNITED STATES CORP FINANCE AA 12M SIMPLE SPREAD OVER GOVT</v>
          </cell>
          <cell r="C170" t="str">
            <v>Credit Spread Risk</v>
          </cell>
          <cell r="D170">
            <v>1</v>
          </cell>
          <cell r="E170" t="str">
            <v>N/A</v>
          </cell>
          <cell r="F170" t="str">
            <v>Decimal</v>
          </cell>
          <cell r="G170">
            <v>3.9498600000000003E-3</v>
          </cell>
          <cell r="H170">
            <v>4.3330799999999996E-3</v>
          </cell>
          <cell r="I170">
            <v>1.8005259999999999E-2</v>
          </cell>
          <cell r="J170">
            <v>1.4997770000000001E-2</v>
          </cell>
          <cell r="K170">
            <v>1.3633960000000001E-2</v>
          </cell>
          <cell r="L170">
            <v>1.206135E-2</v>
          </cell>
          <cell r="M170">
            <v>1.1051119999999999E-2</v>
          </cell>
          <cell r="N170">
            <v>1.040462E-2</v>
          </cell>
          <cell r="O170">
            <v>8.63769E-3</v>
          </cell>
          <cell r="P170">
            <v>9.2371199999999997E-3</v>
          </cell>
        </row>
        <row r="171">
          <cell r="A171" t="str">
            <v>CR.USD.CORP.FINANCE.AA.SPRD.SIMPLE#1M</v>
          </cell>
          <cell r="B171" t="str">
            <v>UNITED STATES CORP FINANCE AA 1M SIMPLE SPREAD OVER GOVT</v>
          </cell>
          <cell r="C171" t="str">
            <v>Credit Spread Risk</v>
          </cell>
          <cell r="D171">
            <v>1</v>
          </cell>
          <cell r="E171" t="str">
            <v>N/A</v>
          </cell>
          <cell r="F171" t="str">
            <v>Decimal</v>
          </cell>
          <cell r="G171">
            <v>3.7983800000000001E-3</v>
          </cell>
          <cell r="H171">
            <v>3.9797799999999996E-3</v>
          </cell>
          <cell r="I171">
            <v>1.7995589999999999E-2</v>
          </cell>
          <cell r="J171">
            <v>1.520439E-2</v>
          </cell>
          <cell r="K171">
            <v>1.5776780000000001E-2</v>
          </cell>
          <cell r="L171">
            <v>1.3314930000000001E-2</v>
          </cell>
          <cell r="M171">
            <v>1.056033E-2</v>
          </cell>
          <cell r="N171">
            <v>8.1953000000000008E-3</v>
          </cell>
          <cell r="O171">
            <v>7.2184399999999996E-3</v>
          </cell>
          <cell r="P171">
            <v>7.6282099999999999E-3</v>
          </cell>
        </row>
        <row r="172">
          <cell r="A172" t="str">
            <v>CR.USD.CORP.FINANCE.AA.SPRD.SIMPLE#3M</v>
          </cell>
          <cell r="B172" t="str">
            <v>UNITED STATES CORP FINANCE AA 3M SIMPLE SPREAD OVER GOVT</v>
          </cell>
          <cell r="C172" t="str">
            <v>Credit Spread Risk</v>
          </cell>
          <cell r="D172">
            <v>1</v>
          </cell>
          <cell r="E172" t="str">
            <v>N/A</v>
          </cell>
          <cell r="F172" t="str">
            <v>Decimal</v>
          </cell>
          <cell r="G172">
            <v>3.7467300000000002E-3</v>
          </cell>
          <cell r="H172">
            <v>3.9949599999999997E-3</v>
          </cell>
          <cell r="I172">
            <v>1.8005589999999998E-2</v>
          </cell>
          <cell r="J172">
            <v>1.4821259999999999E-2</v>
          </cell>
          <cell r="K172">
            <v>1.5415969999999999E-2</v>
          </cell>
          <cell r="L172">
            <v>1.2772459999999999E-2</v>
          </cell>
          <cell r="M172">
            <v>1.022437E-2</v>
          </cell>
          <cell r="N172">
            <v>7.9448599999999998E-3</v>
          </cell>
          <cell r="O172">
            <v>7.3695399999999999E-3</v>
          </cell>
          <cell r="P172">
            <v>7.5884699999999999E-3</v>
          </cell>
        </row>
        <row r="173">
          <cell r="A173" t="str">
            <v>CR.USD.CORP.FINANCE.AA.SPRD.SIMPLE#6M</v>
          </cell>
          <cell r="B173" t="str">
            <v>UNITED STATES CORP FINANCE AA 6M SIMPLE SPREAD OVER GOVT</v>
          </cell>
          <cell r="C173" t="str">
            <v>Credit Spread Risk</v>
          </cell>
          <cell r="D173">
            <v>1</v>
          </cell>
          <cell r="E173" t="str">
            <v>N/A</v>
          </cell>
          <cell r="F173" t="str">
            <v>Decimal</v>
          </cell>
          <cell r="G173">
            <v>3.86104E-3</v>
          </cell>
          <cell r="H173">
            <v>4.1542899999999997E-3</v>
          </cell>
          <cell r="I173">
            <v>1.771414E-2</v>
          </cell>
          <cell r="J173">
            <v>1.5578440000000001E-2</v>
          </cell>
          <cell r="K173">
            <v>1.479278E-2</v>
          </cell>
          <cell r="L173">
            <v>1.2127550000000001E-2</v>
          </cell>
          <cell r="M173">
            <v>9.8305500000000004E-3</v>
          </cell>
          <cell r="N173">
            <v>9.2287900000000006E-3</v>
          </cell>
          <cell r="O173">
            <v>7.6459900000000001E-3</v>
          </cell>
          <cell r="P173">
            <v>8.1159600000000002E-3</v>
          </cell>
        </row>
        <row r="174">
          <cell r="A174" t="str">
            <v>CR.USD.CORP.FINANCE.AAA.SPRD.PAR#10Y</v>
          </cell>
          <cell r="B174" t="str">
            <v>UNITED STATES CORP FINANCE AAA 10Y PAR SPREAD OVER GOVT</v>
          </cell>
          <cell r="C174" t="str">
            <v>Credit Spread Risk</v>
          </cell>
          <cell r="D174">
            <v>1</v>
          </cell>
          <cell r="E174" t="str">
            <v>N/A</v>
          </cell>
          <cell r="F174" t="str">
            <v>Decimal</v>
          </cell>
          <cell r="G174">
            <v>6.7843199999999999E-3</v>
          </cell>
          <cell r="H174">
            <v>6.9892900000000004E-3</v>
          </cell>
          <cell r="I174">
            <v>1.9048450000000001E-2</v>
          </cell>
          <cell r="J174">
            <v>1.7292129999999999E-2</v>
          </cell>
          <cell r="K174">
            <v>1.694992E-2</v>
          </cell>
          <cell r="L174">
            <v>1.603162E-2</v>
          </cell>
          <cell r="M174">
            <v>1.5195480000000001E-2</v>
          </cell>
          <cell r="N174">
            <v>1.4161379999999999E-2</v>
          </cell>
          <cell r="O174">
            <v>1.157802E-2</v>
          </cell>
          <cell r="P174">
            <v>1.147666E-2</v>
          </cell>
        </row>
        <row r="175">
          <cell r="A175" t="str">
            <v>CR.USD.CORP.FINANCE.AAA.SPRD.PAR#15Y</v>
          </cell>
          <cell r="B175" t="str">
            <v>UNITED STATES CORP FINANCE AAA 15Y PAR SPREAD OVER GOVT</v>
          </cell>
          <cell r="C175" t="str">
            <v>Credit Spread Risk</v>
          </cell>
          <cell r="D175">
            <v>1</v>
          </cell>
          <cell r="E175" t="str">
            <v>N/A</v>
          </cell>
          <cell r="F175" t="str">
            <v>Decimal</v>
          </cell>
          <cell r="G175">
            <v>8.3413600000000008E-3</v>
          </cell>
          <cell r="H175">
            <v>8.4620100000000007E-3</v>
          </cell>
          <cell r="I175">
            <v>1.9800749999999999E-2</v>
          </cell>
          <cell r="J175">
            <v>1.821236E-2</v>
          </cell>
          <cell r="K175">
            <v>1.7461979999999998E-2</v>
          </cell>
          <cell r="L175">
            <v>1.631612E-2</v>
          </cell>
          <cell r="M175">
            <v>1.523653E-2</v>
          </cell>
          <cell r="N175">
            <v>1.409321E-2</v>
          </cell>
          <cell r="O175">
            <v>1.2126410000000001E-2</v>
          </cell>
          <cell r="P175">
            <v>1.1755470000000001E-2</v>
          </cell>
        </row>
        <row r="176">
          <cell r="A176" t="str">
            <v>CR.USD.CORP.FINANCE.AAA.SPRD.PAR#20Y</v>
          </cell>
          <cell r="B176" t="str">
            <v>UNITED STATES CORP FINANCE AAA 20Y PAR SPREAD OVER GOVT</v>
          </cell>
          <cell r="C176" t="str">
            <v>Credit Spread Risk</v>
          </cell>
          <cell r="D176">
            <v>1</v>
          </cell>
          <cell r="E176" t="str">
            <v>N/A</v>
          </cell>
          <cell r="F176" t="str">
            <v>Decimal</v>
          </cell>
          <cell r="G176">
            <v>8.4632200000000005E-3</v>
          </cell>
          <cell r="H176">
            <v>8.5310400000000002E-3</v>
          </cell>
          <cell r="I176">
            <v>1.9338330000000001E-2</v>
          </cell>
          <cell r="J176">
            <v>1.7546550000000001E-2</v>
          </cell>
          <cell r="K176">
            <v>1.6543700000000001E-2</v>
          </cell>
          <cell r="L176">
            <v>1.527767E-2</v>
          </cell>
          <cell r="M176">
            <v>1.410666E-2</v>
          </cell>
          <cell r="N176">
            <v>1.2943710000000001E-2</v>
          </cell>
          <cell r="O176">
            <v>1.122095E-2</v>
          </cell>
          <cell r="P176">
            <v>1.0837070000000001E-2</v>
          </cell>
        </row>
        <row r="177">
          <cell r="A177" t="str">
            <v>CR.USD.CORP.FINANCE.AAA.SPRD.PAR#2Y</v>
          </cell>
          <cell r="B177" t="str">
            <v>UNITED STATES CORP FINANCE AAA 2Y PAR SPREAD OVER GOVT</v>
          </cell>
          <cell r="C177" t="str">
            <v>Credit Spread Risk</v>
          </cell>
          <cell r="D177">
            <v>1</v>
          </cell>
          <cell r="E177" t="str">
            <v>N/A</v>
          </cell>
          <cell r="F177" t="str">
            <v>Decimal</v>
          </cell>
          <cell r="G177">
            <v>2.8964699999999999E-3</v>
          </cell>
          <cell r="H177">
            <v>3.2159100000000002E-3</v>
          </cell>
          <cell r="I177">
            <v>1.559003E-2</v>
          </cell>
          <cell r="J177">
            <v>1.325484E-2</v>
          </cell>
          <cell r="K177">
            <v>1.268918E-2</v>
          </cell>
          <cell r="L177">
            <v>1.1465080000000001E-2</v>
          </cell>
          <cell r="M177">
            <v>1.0601050000000001E-2</v>
          </cell>
          <cell r="N177">
            <v>9.8562000000000007E-3</v>
          </cell>
          <cell r="O177">
            <v>7.8293700000000004E-3</v>
          </cell>
          <cell r="P177">
            <v>7.7555499999999999E-3</v>
          </cell>
        </row>
        <row r="178">
          <cell r="A178" t="str">
            <v>CR.USD.CORP.FINANCE.AAA.SPRD.PAR#30Y</v>
          </cell>
          <cell r="B178" t="str">
            <v>UNITED STATES CORP FINANCE AAA 30Y PAR SPREAD OVER GOVT</v>
          </cell>
          <cell r="C178" t="str">
            <v>Credit Spread Risk</v>
          </cell>
          <cell r="D178">
            <v>1</v>
          </cell>
          <cell r="E178" t="str">
            <v>N/A</v>
          </cell>
          <cell r="F178" t="str">
            <v>Decimal</v>
          </cell>
          <cell r="G178">
            <v>8.9197700000000005E-3</v>
          </cell>
          <cell r="H178">
            <v>9.0085400000000006E-3</v>
          </cell>
          <cell r="I178">
            <v>1.9832010000000001E-2</v>
          </cell>
          <cell r="J178">
            <v>1.8350979999999999E-2</v>
          </cell>
          <cell r="K178">
            <v>1.7712849999999999E-2</v>
          </cell>
          <cell r="L178">
            <v>1.6746110000000002E-2</v>
          </cell>
          <cell r="M178">
            <v>1.583037E-2</v>
          </cell>
          <cell r="N178">
            <v>1.4851720000000001E-2</v>
          </cell>
          <cell r="O178">
            <v>1.295526E-2</v>
          </cell>
          <cell r="P178">
            <v>1.254103E-2</v>
          </cell>
        </row>
        <row r="179">
          <cell r="A179" t="str">
            <v>CR.USD.CORP.FINANCE.AAA.SPRD.PAR#3Y</v>
          </cell>
          <cell r="B179" t="str">
            <v>UNITED STATES CORP FINANCE AAA 3Y PAR SPREAD OVER GOVT</v>
          </cell>
          <cell r="C179" t="str">
            <v>Credit Spread Risk</v>
          </cell>
          <cell r="D179">
            <v>1</v>
          </cell>
          <cell r="E179" t="str">
            <v>N/A</v>
          </cell>
          <cell r="F179" t="str">
            <v>Decimal</v>
          </cell>
          <cell r="G179">
            <v>3.0366899999999999E-3</v>
          </cell>
          <cell r="H179">
            <v>3.6191000000000001E-3</v>
          </cell>
          <cell r="I179">
            <v>1.6264600000000001E-2</v>
          </cell>
          <cell r="J179">
            <v>1.4281449999999999E-2</v>
          </cell>
          <cell r="K179">
            <v>1.403165E-2</v>
          </cell>
          <cell r="L179">
            <v>1.2660879999999999E-2</v>
          </cell>
          <cell r="M179">
            <v>1.1529279999999999E-2</v>
          </cell>
          <cell r="N179">
            <v>1.035296E-2</v>
          </cell>
          <cell r="O179">
            <v>7.7419300000000002E-3</v>
          </cell>
          <cell r="P179">
            <v>7.7090600000000002E-3</v>
          </cell>
        </row>
        <row r="180">
          <cell r="A180" t="str">
            <v>CR.USD.CORP.FINANCE.AAA.SPRD.PAR#5Y</v>
          </cell>
          <cell r="B180" t="str">
            <v>UNITED STATES CORP FINANCE AAA 5Y PAR SPREAD OVER GOVT</v>
          </cell>
          <cell r="C180" t="str">
            <v>Credit Spread Risk</v>
          </cell>
          <cell r="D180">
            <v>1</v>
          </cell>
          <cell r="E180" t="str">
            <v>N/A</v>
          </cell>
          <cell r="F180" t="str">
            <v>Decimal</v>
          </cell>
          <cell r="G180">
            <v>4.1191099999999996E-3</v>
          </cell>
          <cell r="H180">
            <v>4.6319100000000004E-3</v>
          </cell>
          <cell r="I180">
            <v>1.7096159999999999E-2</v>
          </cell>
          <cell r="J180">
            <v>1.498614E-2</v>
          </cell>
          <cell r="K180">
            <v>1.450893E-2</v>
          </cell>
          <cell r="L180">
            <v>1.342835E-2</v>
          </cell>
          <cell r="M180">
            <v>1.254414E-2</v>
          </cell>
          <cell r="N180">
            <v>1.1570240000000001E-2</v>
          </cell>
          <cell r="O180">
            <v>9.1313799999999997E-3</v>
          </cell>
          <cell r="P180">
            <v>9.0877600000000003E-3</v>
          </cell>
        </row>
        <row r="181">
          <cell r="A181" t="str">
            <v>CR.USD.CORP.FINANCE.AAA.SPRD.PAR#7Y</v>
          </cell>
          <cell r="B181" t="str">
            <v>UNITED STATES CORP FINANCE AAA 7Y PAR SPREAD OVER GOVT</v>
          </cell>
          <cell r="C181" t="str">
            <v>Credit Spread Risk</v>
          </cell>
          <cell r="D181">
            <v>1</v>
          </cell>
          <cell r="E181" t="str">
            <v>N/A</v>
          </cell>
          <cell r="F181" t="str">
            <v>Decimal</v>
          </cell>
          <cell r="G181">
            <v>5.2888099999999997E-3</v>
          </cell>
          <cell r="H181">
            <v>5.6668700000000001E-3</v>
          </cell>
          <cell r="I181">
            <v>1.796002E-2</v>
          </cell>
          <cell r="J181">
            <v>1.6023570000000001E-2</v>
          </cell>
          <cell r="K181">
            <v>1.563382E-2</v>
          </cell>
          <cell r="L181">
            <v>1.4659180000000001E-2</v>
          </cell>
          <cell r="M181">
            <v>1.3826740000000001E-2</v>
          </cell>
          <cell r="N181">
            <v>1.284192E-2</v>
          </cell>
          <cell r="O181">
            <v>1.033186E-2</v>
          </cell>
          <cell r="P181">
            <v>1.036047E-2</v>
          </cell>
        </row>
        <row r="182">
          <cell r="A182" t="str">
            <v>CR.USD.CORP.FINANCE.AAA.SPRD.SIMPLE#12M</v>
          </cell>
          <cell r="B182" t="str">
            <v>UNITED STATES CORP FINANCE AAA 12M SIMPLE SPREAD OVER GOVT</v>
          </cell>
          <cell r="C182" t="str">
            <v>Credit Spread Risk</v>
          </cell>
          <cell r="D182">
            <v>1</v>
          </cell>
          <cell r="E182" t="str">
            <v>N/A</v>
          </cell>
          <cell r="F182" t="str">
            <v>Decimal</v>
          </cell>
          <cell r="G182">
            <v>3.4810499999999999E-3</v>
          </cell>
          <cell r="H182">
            <v>4.1549899999999999E-3</v>
          </cell>
          <cell r="I182">
            <v>1.626731E-2</v>
          </cell>
          <cell r="J182">
            <v>1.3387120000000001E-2</v>
          </cell>
          <cell r="K182">
            <v>1.195621E-2</v>
          </cell>
          <cell r="L182">
            <v>1.0186489999999999E-2</v>
          </cell>
          <cell r="M182">
            <v>8.9086100000000008E-3</v>
          </cell>
          <cell r="N182">
            <v>7.9567100000000005E-3</v>
          </cell>
          <cell r="O182">
            <v>5.9440099999999996E-3</v>
          </cell>
          <cell r="P182">
            <v>6.3801500000000002E-3</v>
          </cell>
        </row>
        <row r="183">
          <cell r="A183" t="str">
            <v>CR.USD.CORP.FINANCE.AAA.SPRD.SIMPLE#1M</v>
          </cell>
          <cell r="B183" t="str">
            <v>UNITED STATES CORP FINANCE AAA 1M SIMPLE SPREAD OVER GOVT</v>
          </cell>
          <cell r="C183" t="str">
            <v>Credit Spread Risk</v>
          </cell>
          <cell r="D183">
            <v>1</v>
          </cell>
          <cell r="E183" t="str">
            <v>N/A</v>
          </cell>
          <cell r="F183" t="str">
            <v>Decimal</v>
          </cell>
          <cell r="G183">
            <v>3.43027E-3</v>
          </cell>
          <cell r="H183">
            <v>3.9797799999999996E-3</v>
          </cell>
          <cell r="I183">
            <v>1.6589320000000001E-2</v>
          </cell>
          <cell r="J183">
            <v>1.4065899999999999E-2</v>
          </cell>
          <cell r="K183">
            <v>1.4470129999999999E-2</v>
          </cell>
          <cell r="L183">
            <v>1.187361E-2</v>
          </cell>
          <cell r="M183">
            <v>8.9270900000000004E-3</v>
          </cell>
          <cell r="N183">
            <v>6.3459099999999997E-3</v>
          </cell>
          <cell r="O183">
            <v>4.9946399999999998E-3</v>
          </cell>
          <cell r="P183">
            <v>5.2286600000000004E-3</v>
          </cell>
        </row>
        <row r="184">
          <cell r="A184" t="str">
            <v>CR.USD.CORP.FINANCE.AAA.SPRD.SIMPLE#3M</v>
          </cell>
          <cell r="B184" t="str">
            <v>UNITED STATES CORP FINANCE AAA 3M SIMPLE SPREAD OVER GOVT</v>
          </cell>
          <cell r="C184" t="str">
            <v>Credit Spread Risk</v>
          </cell>
          <cell r="D184">
            <v>1</v>
          </cell>
          <cell r="E184" t="str">
            <v>N/A</v>
          </cell>
          <cell r="F184" t="str">
            <v>Decimal</v>
          </cell>
          <cell r="G184">
            <v>3.3792599999999998E-3</v>
          </cell>
          <cell r="H184">
            <v>3.9949599999999997E-3</v>
          </cell>
          <cell r="I184">
            <v>1.6573689999999999E-2</v>
          </cell>
          <cell r="J184">
            <v>1.3657580000000001E-2</v>
          </cell>
          <cell r="K184">
            <v>1.404152E-2</v>
          </cell>
          <cell r="L184">
            <v>1.1264980000000001E-2</v>
          </cell>
          <cell r="M184">
            <v>8.5234899999999999E-3</v>
          </cell>
          <cell r="N184">
            <v>6.0281500000000003E-3</v>
          </cell>
          <cell r="O184">
            <v>5.0601500000000002E-3</v>
          </cell>
          <cell r="P184">
            <v>5.1072899999999996E-3</v>
          </cell>
        </row>
        <row r="185">
          <cell r="A185" t="str">
            <v>CR.USD.CORP.FINANCE.AAA.SPRD.SIMPLE#6M</v>
          </cell>
          <cell r="B185" t="str">
            <v>UNITED STATES CORP FINANCE AAA 6M SIMPLE SPREAD OVER GOVT</v>
          </cell>
          <cell r="C185" t="str">
            <v>Credit Spread Risk</v>
          </cell>
          <cell r="D185">
            <v>1</v>
          </cell>
          <cell r="E185" t="str">
            <v>N/A</v>
          </cell>
          <cell r="F185" t="str">
            <v>Decimal</v>
          </cell>
          <cell r="G185">
            <v>3.4688100000000001E-3</v>
          </cell>
          <cell r="H185">
            <v>4.1359400000000003E-3</v>
          </cell>
          <cell r="I185">
            <v>1.6243799999999999E-2</v>
          </cell>
          <cell r="J185">
            <v>1.4217240000000001E-2</v>
          </cell>
          <cell r="K185">
            <v>1.3317860000000001E-2</v>
          </cell>
          <cell r="L185">
            <v>1.051946E-2</v>
          </cell>
          <cell r="M185">
            <v>8.0280400000000002E-3</v>
          </cell>
          <cell r="N185">
            <v>7.0843599999999996E-3</v>
          </cell>
          <cell r="O185">
            <v>5.2099700000000004E-3</v>
          </cell>
          <cell r="P185">
            <v>5.50623E-3</v>
          </cell>
        </row>
        <row r="186">
          <cell r="A186" t="str">
            <v>CR.USD.CORP.FINANCE.B.SPRD.PAR#10Y</v>
          </cell>
          <cell r="B186" t="str">
            <v>UNITED STATES CORP FINANCE B 10Y PAR SPREAD OVER GOVT</v>
          </cell>
          <cell r="C186" t="str">
            <v>Credit Spread Risk</v>
          </cell>
          <cell r="D186">
            <v>1</v>
          </cell>
          <cell r="E186" t="str">
            <v>N/A</v>
          </cell>
          <cell r="F186" t="str">
            <v>Decimal</v>
          </cell>
          <cell r="G186">
            <v>6.6644949999999994E-2</v>
          </cell>
          <cell r="H186">
            <v>6.6364320000000004E-2</v>
          </cell>
          <cell r="I186">
            <v>0.18913506999999999</v>
          </cell>
          <cell r="J186">
            <v>0.17582130000000001</v>
          </cell>
          <cell r="K186">
            <v>0.17319873999999999</v>
          </cell>
          <cell r="L186">
            <v>0.16948266000000001</v>
          </cell>
          <cell r="M186">
            <v>0.16681314</v>
          </cell>
          <cell r="N186">
            <v>0.16232071000000001</v>
          </cell>
          <cell r="O186">
            <v>0.14299813</v>
          </cell>
          <cell r="P186">
            <v>0.13707849999999999</v>
          </cell>
        </row>
        <row r="187">
          <cell r="A187" t="str">
            <v>CR.USD.CORP.FINANCE.B.SPRD.PAR#15Y</v>
          </cell>
          <cell r="B187" t="str">
            <v>UNITED STATES CORP FINANCE B 15Y PAR SPREAD OVER GOVT</v>
          </cell>
          <cell r="C187" t="str">
            <v>Credit Spread Risk</v>
          </cell>
          <cell r="D187">
            <v>1</v>
          </cell>
          <cell r="E187" t="str">
            <v>N/A</v>
          </cell>
          <cell r="F187" t="str">
            <v>Decimal</v>
          </cell>
          <cell r="G187">
            <v>6.6181649999999995E-2</v>
          </cell>
          <cell r="H187">
            <v>6.5840339999999997E-2</v>
          </cell>
          <cell r="I187">
            <v>0.18467848000000001</v>
          </cell>
          <cell r="J187">
            <v>0.17144549000000001</v>
          </cell>
          <cell r="K187">
            <v>0.16879872000000001</v>
          </cell>
          <cell r="L187">
            <v>0.16498228000000001</v>
          </cell>
          <cell r="M187">
            <v>0.16206957999999999</v>
          </cell>
          <cell r="N187">
            <v>0.15733036</v>
          </cell>
          <cell r="O187">
            <v>0.13814894</v>
          </cell>
          <cell r="P187">
            <v>0.13233149</v>
          </cell>
        </row>
        <row r="188">
          <cell r="A188" t="str">
            <v>CR.USD.CORP.FINANCE.B.SPRD.PAR#20Y</v>
          </cell>
          <cell r="B188" t="str">
            <v>UNITED STATES CORP FINANCE B 20Y PAR SPREAD OVER GOVT</v>
          </cell>
          <cell r="C188" t="str">
            <v>Credit Spread Risk</v>
          </cell>
          <cell r="D188">
            <v>1</v>
          </cell>
          <cell r="E188" t="str">
            <v>N/A</v>
          </cell>
          <cell r="F188" t="str">
            <v>Decimal</v>
          </cell>
          <cell r="G188">
            <v>6.5185740000000006E-2</v>
          </cell>
          <cell r="H188">
            <v>6.4745919999999998E-2</v>
          </cell>
          <cell r="I188">
            <v>0.18240907000000001</v>
          </cell>
          <cell r="J188">
            <v>0.16912911999999999</v>
          </cell>
          <cell r="K188">
            <v>0.16652354</v>
          </cell>
          <cell r="L188">
            <v>0.16277119000000001</v>
          </cell>
          <cell r="M188">
            <v>0.15985078999999999</v>
          </cell>
          <cell r="N188">
            <v>0.15511505</v>
          </cell>
          <cell r="O188">
            <v>0.13593508000000001</v>
          </cell>
          <cell r="P188">
            <v>0.13009503</v>
          </cell>
        </row>
        <row r="189">
          <cell r="A189" t="str">
            <v>CR.USD.CORP.FINANCE.B.SPRD.PAR#2Y</v>
          </cell>
          <cell r="B189" t="str">
            <v>UNITED STATES CORP FINANCE B 2Y PAR SPREAD OVER GOVT</v>
          </cell>
          <cell r="C189" t="str">
            <v>Credit Spread Risk</v>
          </cell>
          <cell r="D189">
            <v>1</v>
          </cell>
          <cell r="E189" t="str">
            <v>N/A</v>
          </cell>
          <cell r="F189" t="str">
            <v>Decimal</v>
          </cell>
          <cell r="G189">
            <v>6.846373E-2</v>
          </cell>
          <cell r="H189">
            <v>6.8202479999999996E-2</v>
          </cell>
          <cell r="I189">
            <v>0.19867354000000001</v>
          </cell>
          <cell r="J189">
            <v>0.18458395</v>
          </cell>
          <cell r="K189">
            <v>0.18070501</v>
          </cell>
          <cell r="L189">
            <v>0.17619157999999999</v>
          </cell>
          <cell r="M189">
            <v>0.17331025</v>
          </cell>
          <cell r="N189">
            <v>0.16914857</v>
          </cell>
          <cell r="O189">
            <v>0.15152425999999999</v>
          </cell>
          <cell r="P189">
            <v>0.14505135999999999</v>
          </cell>
        </row>
        <row r="190">
          <cell r="A190" t="str">
            <v>CR.USD.CORP.FINANCE.B.SPRD.PAR#30Y</v>
          </cell>
          <cell r="B190" t="str">
            <v>UNITED STATES CORP FINANCE B 30Y PAR SPREAD OVER GOVT</v>
          </cell>
          <cell r="C190" t="str">
            <v>Credit Spread Risk</v>
          </cell>
          <cell r="D190">
            <v>1</v>
          </cell>
          <cell r="E190" t="str">
            <v>N/A</v>
          </cell>
          <cell r="F190" t="str">
            <v>Decimal</v>
          </cell>
          <cell r="G190">
            <v>6.4466789999999996E-2</v>
          </cell>
          <cell r="H190">
            <v>6.3937250000000001E-2</v>
          </cell>
          <cell r="I190">
            <v>0.18069062999999999</v>
          </cell>
          <cell r="J190">
            <v>0.16744365999999999</v>
          </cell>
          <cell r="K190">
            <v>0.16501273</v>
          </cell>
          <cell r="L190">
            <v>0.16145327000000001</v>
          </cell>
          <cell r="M190">
            <v>0.15864718999999999</v>
          </cell>
          <cell r="N190">
            <v>0.15403074999999999</v>
          </cell>
          <cell r="O190">
            <v>0.13479614000000001</v>
          </cell>
          <cell r="P190">
            <v>0.12888316</v>
          </cell>
        </row>
        <row r="191">
          <cell r="A191" t="str">
            <v>CR.USD.CORP.FINANCE.B.SPRD.PAR#3Y</v>
          </cell>
          <cell r="B191" t="str">
            <v>UNITED STATES CORP FINANCE B 3Y PAR SPREAD OVER GOVT</v>
          </cell>
          <cell r="C191" t="str">
            <v>Credit Spread Risk</v>
          </cell>
          <cell r="D191">
            <v>1</v>
          </cell>
          <cell r="E191" t="str">
            <v>N/A</v>
          </cell>
          <cell r="F191" t="str">
            <v>Decimal</v>
          </cell>
          <cell r="G191">
            <v>6.8132369999999998E-2</v>
          </cell>
          <cell r="H191">
            <v>6.8000050000000006E-2</v>
          </cell>
          <cell r="I191">
            <v>0.19833981000000001</v>
          </cell>
          <cell r="J191">
            <v>0.18458657000000001</v>
          </cell>
          <cell r="K191">
            <v>0.18094098</v>
          </cell>
          <cell r="L191">
            <v>0.17625414</v>
          </cell>
          <cell r="M191">
            <v>0.17311225</v>
          </cell>
          <cell r="N191">
            <v>0.16853765000000001</v>
          </cell>
          <cell r="O191">
            <v>0.15033824000000001</v>
          </cell>
          <cell r="P191">
            <v>0.14393264</v>
          </cell>
        </row>
        <row r="192">
          <cell r="A192" t="str">
            <v>CR.USD.CORP.FINANCE.B.SPRD.PAR#5Y</v>
          </cell>
          <cell r="B192" t="str">
            <v>UNITED STATES CORP FINANCE B 5Y PAR SPREAD OVER GOVT</v>
          </cell>
          <cell r="C192" t="str">
            <v>Credit Spread Risk</v>
          </cell>
          <cell r="D192">
            <v>1</v>
          </cell>
          <cell r="E192" t="str">
            <v>N/A</v>
          </cell>
          <cell r="F192" t="str">
            <v>Decimal</v>
          </cell>
          <cell r="G192">
            <v>6.7501249999999999E-2</v>
          </cell>
          <cell r="H192">
            <v>6.7189579999999999E-2</v>
          </cell>
          <cell r="I192">
            <v>0.19668483</v>
          </cell>
          <cell r="J192">
            <v>0.18289953</v>
          </cell>
          <cell r="K192">
            <v>0.17914442</v>
          </cell>
          <cell r="L192">
            <v>0.17482549999999999</v>
          </cell>
          <cell r="M192">
            <v>0.17194751</v>
          </cell>
          <cell r="N192">
            <v>0.16760701</v>
          </cell>
          <cell r="O192">
            <v>0.14953113000000001</v>
          </cell>
          <cell r="P192">
            <v>0.14307858000000001</v>
          </cell>
        </row>
        <row r="193">
          <cell r="A193" t="str">
            <v>CR.USD.CORP.FINANCE.B.SPRD.PAR#7Y</v>
          </cell>
          <cell r="B193" t="str">
            <v>UNITED STATES CORP FINANCE B 7Y PAR SPREAD OVER GOVT</v>
          </cell>
          <cell r="C193" t="str">
            <v>Credit Spread Risk</v>
          </cell>
          <cell r="D193">
            <v>1</v>
          </cell>
          <cell r="E193" t="str">
            <v>N/A</v>
          </cell>
          <cell r="F193" t="str">
            <v>Decimal</v>
          </cell>
          <cell r="G193">
            <v>6.6981760000000001E-2</v>
          </cell>
          <cell r="H193">
            <v>6.6649150000000004E-2</v>
          </cell>
          <cell r="I193">
            <v>0.19304805</v>
          </cell>
          <cell r="J193">
            <v>0.17954318</v>
          </cell>
          <cell r="K193">
            <v>0.17634691999999999</v>
          </cell>
          <cell r="L193">
            <v>0.1723682</v>
          </cell>
          <cell r="M193">
            <v>0.16964451999999999</v>
          </cell>
          <cell r="N193">
            <v>0.16529046999999999</v>
          </cell>
          <cell r="O193">
            <v>0.14668247000000001</v>
          </cell>
          <cell r="P193">
            <v>0.1405255</v>
          </cell>
        </row>
        <row r="194">
          <cell r="A194" t="str">
            <v>CR.USD.CORP.FINANCE.B.SPRD.SIMPLE#12M</v>
          </cell>
          <cell r="B194" t="str">
            <v>UNITED STATES CORP FINANCE B 12M SIMPLE SPREAD OVER GOVT</v>
          </cell>
          <cell r="C194" t="str">
            <v>Credit Spread Risk</v>
          </cell>
          <cell r="D194">
            <v>1</v>
          </cell>
          <cell r="E194" t="str">
            <v>N/A</v>
          </cell>
          <cell r="F194" t="str">
            <v>Decimal</v>
          </cell>
          <cell r="G194">
            <v>6.7820350000000001E-2</v>
          </cell>
          <cell r="H194">
            <v>6.8055870000000004E-2</v>
          </cell>
          <cell r="I194">
            <v>0.19660153</v>
          </cell>
          <cell r="J194">
            <v>0.18235008999999999</v>
          </cell>
          <cell r="K194">
            <v>0.17794283</v>
          </cell>
          <cell r="L194">
            <v>0.17304602999999999</v>
          </cell>
          <cell r="M194">
            <v>0.16985824999999999</v>
          </cell>
          <cell r="N194">
            <v>0.16560261000000001</v>
          </cell>
          <cell r="O194">
            <v>0.1482889</v>
          </cell>
          <cell r="P194">
            <v>0.14248225</v>
          </cell>
        </row>
        <row r="195">
          <cell r="A195" t="str">
            <v>CR.USD.CORP.FINANCE.B.SPRD.SIMPLE#1M</v>
          </cell>
          <cell r="B195" t="str">
            <v>UNITED STATES CORP FINANCE B 1M SIMPLE SPREAD OVER GOVT</v>
          </cell>
          <cell r="C195" t="str">
            <v>Credit Spread Risk</v>
          </cell>
          <cell r="D195">
            <v>1</v>
          </cell>
          <cell r="E195" t="str">
            <v>N/A</v>
          </cell>
          <cell r="F195" t="str">
            <v>Decimal</v>
          </cell>
          <cell r="G195">
            <v>6.7671350000000005E-2</v>
          </cell>
          <cell r="H195">
            <v>6.7729940000000002E-2</v>
          </cell>
          <cell r="I195">
            <v>0.19672353000000001</v>
          </cell>
          <cell r="J195">
            <v>0.18282524</v>
          </cell>
          <cell r="K195">
            <v>0.18045675999999999</v>
          </cell>
          <cell r="L195">
            <v>0.17507073000000001</v>
          </cell>
          <cell r="M195">
            <v>0.17056336</v>
          </cell>
          <cell r="N195">
            <v>0.16510546000000001</v>
          </cell>
          <cell r="O195">
            <v>0.14781484</v>
          </cell>
          <cell r="P195">
            <v>0.14199803</v>
          </cell>
        </row>
        <row r="196">
          <cell r="A196" t="str">
            <v>CR.USD.CORP.FINANCE.B.SPRD.SIMPLE#3M</v>
          </cell>
          <cell r="B196" t="str">
            <v>UNITED STATES CORP FINANCE B 3M SIMPLE SPREAD OVER GOVT</v>
          </cell>
          <cell r="C196" t="str">
            <v>Credit Spread Risk</v>
          </cell>
          <cell r="D196">
            <v>1</v>
          </cell>
          <cell r="E196" t="str">
            <v>N/A</v>
          </cell>
          <cell r="F196" t="str">
            <v>Decimal</v>
          </cell>
          <cell r="G196">
            <v>6.7619719999999994E-2</v>
          </cell>
          <cell r="H196">
            <v>6.775639E-2</v>
          </cell>
          <cell r="I196">
            <v>0.19672453000000001</v>
          </cell>
          <cell r="J196">
            <v>0.18237391</v>
          </cell>
          <cell r="K196">
            <v>0.18004591</v>
          </cell>
          <cell r="L196">
            <v>0.17443291</v>
          </cell>
          <cell r="M196">
            <v>0.17017958999999999</v>
          </cell>
          <cell r="N196">
            <v>0.16478775000000001</v>
          </cell>
          <cell r="O196">
            <v>0.14777525</v>
          </cell>
          <cell r="P196">
            <v>0.14171636000000001</v>
          </cell>
        </row>
        <row r="197">
          <cell r="A197" t="str">
            <v>CR.USD.CORP.FINANCE.B.SPRD.SIMPLE#6M</v>
          </cell>
          <cell r="B197" t="str">
            <v>UNITED STATES CORP FINANCE B 6M SIMPLE SPREAD OVER GOVT</v>
          </cell>
          <cell r="C197" t="str">
            <v>Credit Spread Risk</v>
          </cell>
          <cell r="D197">
            <v>1</v>
          </cell>
          <cell r="E197" t="str">
            <v>N/A</v>
          </cell>
          <cell r="F197" t="str">
            <v>Decimal</v>
          </cell>
          <cell r="G197">
            <v>6.7733420000000003E-2</v>
          </cell>
          <cell r="H197">
            <v>6.7931580000000005E-2</v>
          </cell>
          <cell r="I197">
            <v>0.19639234999999999</v>
          </cell>
          <cell r="J197">
            <v>0.18307905999999999</v>
          </cell>
          <cell r="K197">
            <v>0.17927736</v>
          </cell>
          <cell r="L197">
            <v>0.17368019000000001</v>
          </cell>
          <cell r="M197">
            <v>0.16968242</v>
          </cell>
          <cell r="N197">
            <v>0.16524196999999999</v>
          </cell>
          <cell r="O197">
            <v>0.14779592</v>
          </cell>
          <cell r="P197">
            <v>0.14202048</v>
          </cell>
        </row>
        <row r="198">
          <cell r="A198" t="str">
            <v>CR.USD.CORP.FINANCE.BB.SPRD.PAR#10Y</v>
          </cell>
          <cell r="B198" t="str">
            <v>UNITED STATES CORP FINANCE BB 10Y PAR SPREAD OVER GOVT</v>
          </cell>
          <cell r="C198" t="str">
            <v>Credit Spread Risk</v>
          </cell>
          <cell r="D198">
            <v>1</v>
          </cell>
          <cell r="E198" t="str">
            <v>N/A</v>
          </cell>
          <cell r="F198" t="str">
            <v>Decimal</v>
          </cell>
          <cell r="G198">
            <v>3.3655749999999998E-2</v>
          </cell>
          <cell r="H198">
            <v>3.349949E-2</v>
          </cell>
          <cell r="I198">
            <v>0.11790415999999999</v>
          </cell>
          <cell r="J198">
            <v>0.10880716</v>
          </cell>
          <cell r="K198">
            <v>0.10715646</v>
          </cell>
          <cell r="L198">
            <v>0.10463976</v>
          </cell>
          <cell r="M198">
            <v>0.10281443</v>
          </cell>
          <cell r="N198">
            <v>9.9689260000000002E-2</v>
          </cell>
          <cell r="O198">
            <v>8.6263530000000005E-2</v>
          </cell>
          <cell r="P198">
            <v>8.2315059999999995E-2</v>
          </cell>
        </row>
        <row r="199">
          <cell r="A199" t="str">
            <v>CR.USD.CORP.FINANCE.BB.SPRD.PAR#15Y</v>
          </cell>
          <cell r="B199" t="str">
            <v>UNITED STATES CORP FINANCE BB 15Y PAR SPREAD OVER GOVT</v>
          </cell>
          <cell r="C199" t="str">
            <v>Credit Spread Risk</v>
          </cell>
          <cell r="D199">
            <v>1</v>
          </cell>
          <cell r="E199" t="str">
            <v>N/A</v>
          </cell>
          <cell r="F199" t="str">
            <v>Decimal</v>
          </cell>
          <cell r="G199">
            <v>3.3610260000000003E-2</v>
          </cell>
          <cell r="H199">
            <v>3.3403420000000003E-2</v>
          </cell>
          <cell r="I199">
            <v>0.11398875999999999</v>
          </cell>
          <cell r="J199">
            <v>0.10506727</v>
          </cell>
          <cell r="K199">
            <v>0.10335013</v>
          </cell>
          <cell r="L199">
            <v>0.10070261</v>
          </cell>
          <cell r="M199">
            <v>9.8620609999999997E-2</v>
          </cell>
          <cell r="N199">
            <v>9.5260520000000001E-2</v>
          </cell>
          <cell r="O199">
            <v>8.2128850000000003E-2</v>
          </cell>
          <cell r="P199">
            <v>7.8287510000000005E-2</v>
          </cell>
        </row>
        <row r="200">
          <cell r="A200" t="str">
            <v>CR.USD.CORP.FINANCE.BB.SPRD.PAR#20Y</v>
          </cell>
          <cell r="B200" t="str">
            <v>UNITED STATES CORP FINANCE BB 20Y PAR SPREAD OVER GOVT</v>
          </cell>
          <cell r="C200" t="str">
            <v>Credit Spread Risk</v>
          </cell>
          <cell r="D200">
            <v>1</v>
          </cell>
          <cell r="E200" t="str">
            <v>N/A</v>
          </cell>
          <cell r="F200" t="str">
            <v>Decimal</v>
          </cell>
          <cell r="G200">
            <v>3.2885440000000002E-2</v>
          </cell>
          <cell r="H200">
            <v>3.2622209999999999E-2</v>
          </cell>
          <cell r="I200">
            <v>0.11215646</v>
          </cell>
          <cell r="J200">
            <v>0.10324116999999999</v>
          </cell>
          <cell r="K200">
            <v>0.10155637000000001</v>
          </cell>
          <cell r="L200">
            <v>9.8960359999999997E-2</v>
          </cell>
          <cell r="M200">
            <v>9.6874859999999993E-2</v>
          </cell>
          <cell r="N200">
            <v>9.3524070000000001E-2</v>
          </cell>
          <cell r="O200">
            <v>8.0453369999999996E-2</v>
          </cell>
          <cell r="P200">
            <v>7.6616539999999997E-2</v>
          </cell>
        </row>
        <row r="201">
          <cell r="A201" t="str">
            <v>CR.USD.CORP.FINANCE.BB.SPRD.PAR#2Y</v>
          </cell>
          <cell r="B201" t="str">
            <v>UNITED STATES CORP FINANCE BB 2Y PAR SPREAD OVER GOVT</v>
          </cell>
          <cell r="C201" t="str">
            <v>Credit Spread Risk</v>
          </cell>
          <cell r="D201">
            <v>1</v>
          </cell>
          <cell r="E201" t="str">
            <v>N/A</v>
          </cell>
          <cell r="F201" t="str">
            <v>Decimal</v>
          </cell>
          <cell r="G201">
            <v>3.4564459999999998E-2</v>
          </cell>
          <cell r="H201">
            <v>3.4365819999999998E-2</v>
          </cell>
          <cell r="I201">
            <v>0.12517363000000001</v>
          </cell>
          <cell r="J201">
            <v>0.11543478</v>
          </cell>
          <cell r="K201">
            <v>0.11281279</v>
          </cell>
          <cell r="L201">
            <v>0.10967469000000001</v>
          </cell>
          <cell r="M201">
            <v>0.10773166000000001</v>
          </cell>
          <cell r="N201">
            <v>0.10499310000000001</v>
          </cell>
          <cell r="O201">
            <v>9.2996259999999997E-2</v>
          </cell>
          <cell r="P201">
            <v>8.8435139999999995E-2</v>
          </cell>
        </row>
        <row r="202">
          <cell r="A202" t="str">
            <v>CR.USD.CORP.FINANCE.BB.SPRD.PAR#30Y</v>
          </cell>
          <cell r="B202" t="str">
            <v>UNITED STATES CORP FINANCE BB 30Y PAR SPREAD OVER GOVT</v>
          </cell>
          <cell r="C202" t="str">
            <v>Credit Spread Risk</v>
          </cell>
          <cell r="D202">
            <v>1</v>
          </cell>
          <cell r="E202" t="str">
            <v>N/A</v>
          </cell>
          <cell r="F202" t="str">
            <v>Decimal</v>
          </cell>
          <cell r="G202">
            <v>3.2523030000000001E-2</v>
          </cell>
          <cell r="H202">
            <v>3.2243099999999997E-2</v>
          </cell>
          <cell r="I202">
            <v>0.1107655</v>
          </cell>
          <cell r="J202">
            <v>0.10195335</v>
          </cell>
          <cell r="K202">
            <v>0.10043741</v>
          </cell>
          <cell r="L202">
            <v>9.802255E-2</v>
          </cell>
          <cell r="M202">
            <v>9.6052700000000005E-2</v>
          </cell>
          <cell r="N202">
            <v>9.282522E-2</v>
          </cell>
          <cell r="O202">
            <v>7.979609E-2</v>
          </cell>
          <cell r="P202">
            <v>7.5940190000000005E-2</v>
          </cell>
        </row>
        <row r="203">
          <cell r="A203" t="str">
            <v>CR.USD.CORP.FINANCE.BB.SPRD.PAR#3Y</v>
          </cell>
          <cell r="B203" t="str">
            <v>UNITED STATES CORP FINANCE BB 3Y PAR SPREAD OVER GOVT</v>
          </cell>
          <cell r="C203" t="str">
            <v>Credit Spread Risk</v>
          </cell>
          <cell r="D203">
            <v>1</v>
          </cell>
          <cell r="E203" t="str">
            <v>N/A</v>
          </cell>
          <cell r="F203" t="str">
            <v>Decimal</v>
          </cell>
          <cell r="G203">
            <v>3.4386519999999997E-2</v>
          </cell>
          <cell r="H203">
            <v>3.4327469999999999E-2</v>
          </cell>
          <cell r="I203">
            <v>0.12509437000000001</v>
          </cell>
          <cell r="J203">
            <v>0.11564679999999999</v>
          </cell>
          <cell r="K203">
            <v>0.11323852</v>
          </cell>
          <cell r="L203">
            <v>0.1099035</v>
          </cell>
          <cell r="M203">
            <v>0.10766517</v>
          </cell>
          <cell r="N203">
            <v>0.10447726</v>
          </cell>
          <cell r="O203">
            <v>9.1876849999999996E-2</v>
          </cell>
          <cell r="P203">
            <v>8.7386690000000003E-2</v>
          </cell>
        </row>
        <row r="204">
          <cell r="A204" t="str">
            <v>CR.USD.CORP.FINANCE.BB.SPRD.PAR#5Y</v>
          </cell>
          <cell r="B204" t="str">
            <v>UNITED STATES CORP FINANCE BB 5Y PAR SPREAD OVER GOVT</v>
          </cell>
          <cell r="C204" t="str">
            <v>Credit Spread Risk</v>
          </cell>
          <cell r="D204">
            <v>1</v>
          </cell>
          <cell r="E204" t="str">
            <v>N/A</v>
          </cell>
          <cell r="F204" t="str">
            <v>Decimal</v>
          </cell>
          <cell r="G204">
            <v>3.405938E-2</v>
          </cell>
          <cell r="H204">
            <v>3.3821089999999998E-2</v>
          </cell>
          <cell r="I204">
            <v>0.12391842</v>
          </cell>
          <cell r="J204">
            <v>0.11435258</v>
          </cell>
          <cell r="K204">
            <v>0.11174696000000001</v>
          </cell>
          <cell r="L204">
            <v>0.10874721</v>
          </cell>
          <cell r="M204">
            <v>0.10676866</v>
          </cell>
          <cell r="N204">
            <v>0.10381246</v>
          </cell>
          <cell r="O204">
            <v>9.1380199999999995E-2</v>
          </cell>
          <cell r="P204">
            <v>8.68786E-2</v>
          </cell>
        </row>
        <row r="205">
          <cell r="A205" t="str">
            <v>CR.USD.CORP.FINANCE.BB.SPRD.PAR#7Y</v>
          </cell>
          <cell r="B205" t="str">
            <v>UNITED STATES CORP FINANCE BB 7Y PAR SPREAD OVER GOVT</v>
          </cell>
          <cell r="C205" t="str">
            <v>Credit Spread Risk</v>
          </cell>
          <cell r="D205">
            <v>1</v>
          </cell>
          <cell r="E205" t="str">
            <v>N/A</v>
          </cell>
          <cell r="F205" t="str">
            <v>Decimal</v>
          </cell>
          <cell r="G205">
            <v>3.3789779999999998E-2</v>
          </cell>
          <cell r="H205">
            <v>3.3550650000000001E-2</v>
          </cell>
          <cell r="I205">
            <v>0.12111303</v>
          </cell>
          <cell r="J205">
            <v>0.11179186000000001</v>
          </cell>
          <cell r="K205">
            <v>0.10963390000000001</v>
          </cell>
          <cell r="L205">
            <v>0.10689513</v>
          </cell>
          <cell r="M205">
            <v>0.10502595000000001</v>
          </cell>
          <cell r="N205">
            <v>0.1020296</v>
          </cell>
          <cell r="O205">
            <v>8.9167010000000005E-2</v>
          </cell>
          <cell r="P205">
            <v>8.4969699999999995E-2</v>
          </cell>
        </row>
        <row r="206">
          <cell r="A206" t="str">
            <v>CR.USD.CORP.FINANCE.BB.SPRD.SIMPLE#12M</v>
          </cell>
          <cell r="B206" t="str">
            <v>UNITED STATES CORP FINANCE BB 12M SIMPLE SPREAD OVER GOVT</v>
          </cell>
          <cell r="C206" t="str">
            <v>Credit Spread Risk</v>
          </cell>
          <cell r="D206">
            <v>1</v>
          </cell>
          <cell r="E206" t="str">
            <v>N/A</v>
          </cell>
          <cell r="F206" t="str">
            <v>Decimal</v>
          </cell>
          <cell r="G206">
            <v>3.4356959999999999E-2</v>
          </cell>
          <cell r="H206">
            <v>3.4655159999999997E-2</v>
          </cell>
          <cell r="I206">
            <v>0.12418038000000001</v>
          </cell>
          <cell r="J206">
            <v>0.11422469</v>
          </cell>
          <cell r="K206">
            <v>0.11105514</v>
          </cell>
          <cell r="L206">
            <v>0.10750808000000001</v>
          </cell>
          <cell r="M206">
            <v>0.10524770999999999</v>
          </cell>
          <cell r="N206">
            <v>0.10239676</v>
          </cell>
          <cell r="O206">
            <v>9.0620439999999997E-2</v>
          </cell>
          <cell r="P206">
            <v>8.6703740000000001E-2</v>
          </cell>
        </row>
        <row r="207">
          <cell r="A207" t="str">
            <v>CR.USD.CORP.FINANCE.BB.SPRD.SIMPLE#1M</v>
          </cell>
          <cell r="B207" t="str">
            <v>UNITED STATES CORP FINANCE BB 1M SIMPLE SPREAD OVER GOVT</v>
          </cell>
          <cell r="C207" t="str">
            <v>Credit Spread Risk</v>
          </cell>
          <cell r="D207">
            <v>1</v>
          </cell>
          <cell r="E207" t="str">
            <v>N/A</v>
          </cell>
          <cell r="F207" t="str">
            <v>Decimal</v>
          </cell>
          <cell r="G207">
            <v>3.4207719999999997E-2</v>
          </cell>
          <cell r="H207">
            <v>3.4295920000000001E-2</v>
          </cell>
          <cell r="I207">
            <v>0.12423818</v>
          </cell>
          <cell r="J207">
            <v>0.11457623</v>
          </cell>
          <cell r="K207">
            <v>0.11340649</v>
          </cell>
          <cell r="L207">
            <v>0.10936273000000001</v>
          </cell>
          <cell r="M207">
            <v>0.10579615000000001</v>
          </cell>
          <cell r="N207">
            <v>0.10175434999999999</v>
          </cell>
          <cell r="O207">
            <v>8.9999930000000006E-2</v>
          </cell>
          <cell r="P207">
            <v>8.6094309999999993E-2</v>
          </cell>
        </row>
        <row r="208">
          <cell r="A208" t="str">
            <v>CR.USD.CORP.FINANCE.BB.SPRD.SIMPLE#3M</v>
          </cell>
          <cell r="B208" t="str">
            <v>UNITED STATES CORP FINANCE BB 3M SIMPLE SPREAD OVER GOVT</v>
          </cell>
          <cell r="C208" t="str">
            <v>Credit Spread Risk</v>
          </cell>
          <cell r="D208">
            <v>1</v>
          </cell>
          <cell r="E208" t="str">
            <v>N/A</v>
          </cell>
          <cell r="F208" t="str">
            <v>Decimal</v>
          </cell>
          <cell r="G208">
            <v>3.415609E-2</v>
          </cell>
          <cell r="H208">
            <v>3.4324790000000001E-2</v>
          </cell>
          <cell r="I208">
            <v>0.1242438</v>
          </cell>
          <cell r="J208">
            <v>0.11415361</v>
          </cell>
          <cell r="K208">
            <v>0.11301811</v>
          </cell>
          <cell r="L208">
            <v>0.10876571</v>
          </cell>
          <cell r="M208">
            <v>0.10543387</v>
          </cell>
          <cell r="N208">
            <v>0.10146595</v>
          </cell>
          <cell r="O208">
            <v>8.9994480000000002E-2</v>
          </cell>
          <cell r="P208">
            <v>8.5869810000000005E-2</v>
          </cell>
        </row>
        <row r="209">
          <cell r="A209" t="str">
            <v>CR.USD.CORP.FINANCE.BB.SPRD.SIMPLE#6M</v>
          </cell>
          <cell r="B209" t="str">
            <v>UNITED STATES CORP FINANCE BB 6M SIMPLE SPREAD OVER GOVT</v>
          </cell>
          <cell r="C209" t="str">
            <v>Credit Spread Risk</v>
          </cell>
          <cell r="D209">
            <v>1</v>
          </cell>
          <cell r="E209" t="str">
            <v>N/A</v>
          </cell>
          <cell r="F209" t="str">
            <v>Decimal</v>
          </cell>
          <cell r="G209">
            <v>3.4269840000000003E-2</v>
          </cell>
          <cell r="H209">
            <v>3.450495E-2</v>
          </cell>
          <cell r="I209">
            <v>0.1239296</v>
          </cell>
          <cell r="J209">
            <v>0.11488572</v>
          </cell>
          <cell r="K209">
            <v>0.11231186999999999</v>
          </cell>
          <cell r="L209">
            <v>0.10805993</v>
          </cell>
          <cell r="M209">
            <v>0.10498175</v>
          </cell>
          <cell r="N209">
            <v>0.10195261999999999</v>
          </cell>
          <cell r="O209">
            <v>9.0055049999999998E-2</v>
          </cell>
          <cell r="P209">
            <v>8.6199810000000002E-2</v>
          </cell>
        </row>
        <row r="210">
          <cell r="A210" t="str">
            <v>CR.USD.CORP.FINANCE.BBB.SPRD.PAR#10Y</v>
          </cell>
          <cell r="B210" t="str">
            <v>UNITED STATES CORP FINANCE BBB 10Y PAR SPREAD OVER GOVT</v>
          </cell>
          <cell r="C210" t="str">
            <v>Credit Spread Risk</v>
          </cell>
          <cell r="D210">
            <v>1</v>
          </cell>
          <cell r="E210" t="str">
            <v>N/A</v>
          </cell>
          <cell r="F210" t="str">
            <v>Decimal</v>
          </cell>
          <cell r="G210">
            <v>1.8027600000000001E-2</v>
          </cell>
          <cell r="H210">
            <v>1.8366540000000001E-2</v>
          </cell>
          <cell r="I210">
            <v>6.1016109999999998E-2</v>
          </cell>
          <cell r="J210">
            <v>5.6234359999999997E-2</v>
          </cell>
          <cell r="K210">
            <v>5.7522490000000003E-2</v>
          </cell>
          <cell r="L210">
            <v>5.6408670000000001E-2</v>
          </cell>
          <cell r="M210">
            <v>5.5258219999999997E-2</v>
          </cell>
          <cell r="N210">
            <v>5.258268E-2</v>
          </cell>
          <cell r="O210">
            <v>4.1564169999999998E-2</v>
          </cell>
          <cell r="P210">
            <v>4.0742430000000003E-2</v>
          </cell>
        </row>
        <row r="211">
          <cell r="A211" t="str">
            <v>CR.USD.CORP.FINANCE.BBB.SPRD.PAR#15Y</v>
          </cell>
          <cell r="B211" t="str">
            <v>UNITED STATES CORP FINANCE BBB 15Y PAR SPREAD OVER GOVT</v>
          </cell>
          <cell r="C211" t="str">
            <v>Credit Spread Risk</v>
          </cell>
          <cell r="D211">
            <v>1</v>
          </cell>
          <cell r="E211" t="str">
            <v>N/A</v>
          </cell>
          <cell r="F211" t="str">
            <v>Decimal</v>
          </cell>
          <cell r="G211">
            <v>1.9166849999999999E-2</v>
          </cell>
          <cell r="H211">
            <v>1.935682E-2</v>
          </cell>
          <cell r="I211">
            <v>6.0448790000000002E-2</v>
          </cell>
          <cell r="J211">
            <v>5.5673170000000001E-2</v>
          </cell>
          <cell r="K211">
            <v>5.6465059999999997E-2</v>
          </cell>
          <cell r="L211">
            <v>5.5072610000000001E-2</v>
          </cell>
          <cell r="M211">
            <v>5.3630190000000001E-2</v>
          </cell>
          <cell r="N211">
            <v>5.0806959999999998E-2</v>
          </cell>
          <cell r="O211">
            <v>4.0432339999999997E-2</v>
          </cell>
          <cell r="P211">
            <v>3.9420620000000003E-2</v>
          </cell>
        </row>
        <row r="212">
          <cell r="A212" t="str">
            <v>CR.USD.CORP.FINANCE.BBB.SPRD.PAR#20Y</v>
          </cell>
          <cell r="B212" t="str">
            <v>UNITED STATES CORP FINANCE BBB 20Y PAR SPREAD OVER GOVT</v>
          </cell>
          <cell r="C212" t="str">
            <v>Credit Spread Risk</v>
          </cell>
          <cell r="D212">
            <v>1</v>
          </cell>
          <cell r="E212" t="str">
            <v>N/A</v>
          </cell>
          <cell r="F212" t="str">
            <v>Decimal</v>
          </cell>
          <cell r="G212">
            <v>1.8937409999999998E-2</v>
          </cell>
          <cell r="H212">
            <v>1.9035969999999999E-2</v>
          </cell>
          <cell r="I212">
            <v>5.905519E-2</v>
          </cell>
          <cell r="J212">
            <v>5.3927129999999997E-2</v>
          </cell>
          <cell r="K212">
            <v>5.4436619999999998E-2</v>
          </cell>
          <cell r="L212">
            <v>5.2896730000000003E-2</v>
          </cell>
          <cell r="M212">
            <v>5.1329090000000001E-2</v>
          </cell>
          <cell r="N212">
            <v>4.8445420000000003E-2</v>
          </cell>
          <cell r="O212">
            <v>3.820697E-2</v>
          </cell>
          <cell r="P212">
            <v>3.725473E-2</v>
          </cell>
        </row>
        <row r="213">
          <cell r="A213" t="str">
            <v>CR.USD.CORP.FINANCE.BBB.SPRD.PAR#2Y</v>
          </cell>
          <cell r="B213" t="str">
            <v>UNITED STATES CORP FINANCE BBB 2Y PAR SPREAD OVER GOVT</v>
          </cell>
          <cell r="C213" t="str">
            <v>Credit Spread Risk</v>
          </cell>
          <cell r="D213">
            <v>1</v>
          </cell>
          <cell r="E213" t="str">
            <v>N/A</v>
          </cell>
          <cell r="F213" t="str">
            <v>Decimal</v>
          </cell>
          <cell r="G213">
            <v>9.7542700000000006E-3</v>
          </cell>
          <cell r="H213">
            <v>1.063446E-2</v>
          </cell>
          <cell r="I213">
            <v>5.5586330000000003E-2</v>
          </cell>
          <cell r="J213">
            <v>5.1437620000000003E-2</v>
          </cell>
          <cell r="K213">
            <v>5.3576279999999997E-2</v>
          </cell>
          <cell r="L213">
            <v>5.270772E-2</v>
          </cell>
          <cell r="M213">
            <v>5.2021949999999997E-2</v>
          </cell>
          <cell r="N213">
            <v>5.008E-2</v>
          </cell>
          <cell r="O213">
            <v>4.026515E-2</v>
          </cell>
          <cell r="P213">
            <v>3.9573200000000003E-2</v>
          </cell>
        </row>
        <row r="214">
          <cell r="A214" t="str">
            <v>CR.USD.CORP.FINANCE.BBB.SPRD.PAR#30Y</v>
          </cell>
          <cell r="B214" t="str">
            <v>UNITED STATES CORP FINANCE BBB 30Y PAR SPREAD OVER GOVT</v>
          </cell>
          <cell r="C214" t="str">
            <v>Credit Spread Risk</v>
          </cell>
          <cell r="D214">
            <v>1</v>
          </cell>
          <cell r="E214" t="str">
            <v>N/A</v>
          </cell>
          <cell r="F214" t="str">
            <v>Decimal</v>
          </cell>
          <cell r="G214">
            <v>1.901311E-2</v>
          </cell>
          <cell r="H214">
            <v>1.9082620000000002E-2</v>
          </cell>
          <cell r="I214">
            <v>5.847637E-2</v>
          </cell>
          <cell r="J214">
            <v>5.3432800000000003E-2</v>
          </cell>
          <cell r="K214">
            <v>5.3999789999999999E-2</v>
          </cell>
          <cell r="L214">
            <v>5.257365E-2</v>
          </cell>
          <cell r="M214">
            <v>5.1091940000000002E-2</v>
          </cell>
          <cell r="N214">
            <v>4.8319470000000003E-2</v>
          </cell>
          <cell r="O214">
            <v>3.8204799999999997E-2</v>
          </cell>
          <cell r="P214">
            <v>3.7228570000000002E-2</v>
          </cell>
        </row>
        <row r="215">
          <cell r="A215" t="str">
            <v>CR.USD.CORP.FINANCE.BBB.SPRD.PAR#3Y</v>
          </cell>
          <cell r="B215" t="str">
            <v>UNITED STATES CORP FINANCE BBB 3Y PAR SPREAD OVER GOVT</v>
          </cell>
          <cell r="C215" t="str">
            <v>Credit Spread Risk</v>
          </cell>
          <cell r="D215">
            <v>1</v>
          </cell>
          <cell r="E215" t="str">
            <v>N/A</v>
          </cell>
          <cell r="F215" t="str">
            <v>Decimal</v>
          </cell>
          <cell r="G215">
            <v>1.1968390000000001E-2</v>
          </cell>
          <cell r="H215">
            <v>1.290528E-2</v>
          </cell>
          <cell r="I215">
            <v>5.7752980000000002E-2</v>
          </cell>
          <cell r="J215">
            <v>5.3638329999999998E-2</v>
          </cell>
          <cell r="K215">
            <v>5.5668080000000002E-2</v>
          </cell>
          <cell r="L215">
            <v>5.4430619999999999E-2</v>
          </cell>
          <cell r="M215">
            <v>5.3281759999999997E-2</v>
          </cell>
          <cell r="N215">
            <v>5.0730200000000003E-2</v>
          </cell>
          <cell r="O215">
            <v>4.0165770000000003E-2</v>
          </cell>
          <cell r="P215">
            <v>3.9393110000000002E-2</v>
          </cell>
        </row>
        <row r="216">
          <cell r="A216" t="str">
            <v>CR.USD.CORP.FINANCE.BBB.SPRD.PAR#5Y</v>
          </cell>
          <cell r="B216" t="str">
            <v>UNITED STATES CORP FINANCE BBB 5Y PAR SPREAD OVER GOVT</v>
          </cell>
          <cell r="C216" t="str">
            <v>Credit Spread Risk</v>
          </cell>
          <cell r="D216">
            <v>1</v>
          </cell>
          <cell r="E216" t="str">
            <v>N/A</v>
          </cell>
          <cell r="F216" t="str">
            <v>Decimal</v>
          </cell>
          <cell r="G216">
            <v>1.491453E-2</v>
          </cell>
          <cell r="H216">
            <v>1.543659E-2</v>
          </cell>
          <cell r="I216">
            <v>5.950093E-2</v>
          </cell>
          <cell r="J216">
            <v>5.4893009999999999E-2</v>
          </cell>
          <cell r="K216">
            <v>5.626047E-2</v>
          </cell>
          <cell r="L216">
            <v>5.5153250000000001E-2</v>
          </cell>
          <cell r="M216">
            <v>5.4105769999999997E-2</v>
          </cell>
          <cell r="N216">
            <v>5.1647129999999999E-2</v>
          </cell>
          <cell r="O216">
            <v>4.1174269999999999E-2</v>
          </cell>
          <cell r="P216">
            <v>4.0290560000000003E-2</v>
          </cell>
        </row>
        <row r="217">
          <cell r="A217" t="str">
            <v>CR.USD.CORP.FINANCE.BBB.SPRD.PAR#7Y</v>
          </cell>
          <cell r="B217" t="str">
            <v>UNITED STATES CORP FINANCE BBB 7Y PAR SPREAD OVER GOVT</v>
          </cell>
          <cell r="C217" t="str">
            <v>Credit Spread Risk</v>
          </cell>
          <cell r="D217">
            <v>1</v>
          </cell>
          <cell r="E217" t="str">
            <v>N/A</v>
          </cell>
          <cell r="F217" t="str">
            <v>Decimal</v>
          </cell>
          <cell r="G217">
            <v>1.6598290000000002E-2</v>
          </cell>
          <cell r="H217">
            <v>1.698962E-2</v>
          </cell>
          <cell r="I217">
            <v>6.0367459999999998E-2</v>
          </cell>
          <cell r="J217">
            <v>5.5676360000000001E-2</v>
          </cell>
          <cell r="K217">
            <v>5.699705E-2</v>
          </cell>
          <cell r="L217">
            <v>5.5897210000000003E-2</v>
          </cell>
          <cell r="M217">
            <v>5.4810879999999999E-2</v>
          </cell>
          <cell r="N217">
            <v>5.2251209999999999E-2</v>
          </cell>
          <cell r="O217">
            <v>4.1505189999999997E-2</v>
          </cell>
          <cell r="P217">
            <v>4.0724169999999997E-2</v>
          </cell>
        </row>
        <row r="218">
          <cell r="A218" t="str">
            <v>CR.USD.CORP.FINANCE.BBB.SPRD.SIMPLE#12M</v>
          </cell>
          <cell r="B218" t="str">
            <v>UNITED STATES CORP FINANCE BBB 12M SIMPLE SPREAD OVER GOVT</v>
          </cell>
          <cell r="C218" t="str">
            <v>Credit Spread Risk</v>
          </cell>
          <cell r="D218">
            <v>1</v>
          </cell>
          <cell r="E218" t="str">
            <v>N/A</v>
          </cell>
          <cell r="F218" t="str">
            <v>Decimal</v>
          </cell>
          <cell r="G218">
            <v>6.9460499999999996E-3</v>
          </cell>
          <cell r="H218">
            <v>8.2099400000000006E-3</v>
          </cell>
          <cell r="I218">
            <v>5.2748730000000001E-2</v>
          </cell>
          <cell r="J218">
            <v>4.8644609999999998E-2</v>
          </cell>
          <cell r="K218">
            <v>5.0728669999999997E-2</v>
          </cell>
          <cell r="L218">
            <v>4.959649E-2</v>
          </cell>
          <cell r="M218">
            <v>4.8747739999999998E-2</v>
          </cell>
          <cell r="N218">
            <v>4.6852030000000003E-2</v>
          </cell>
          <cell r="O218">
            <v>3.738354E-2</v>
          </cell>
          <cell r="P218">
            <v>3.7412090000000002E-2</v>
          </cell>
        </row>
        <row r="219">
          <cell r="A219" t="str">
            <v>CR.USD.CORP.FINANCE.BBB.SPRD.SIMPLE#1M</v>
          </cell>
          <cell r="B219" t="str">
            <v>UNITED STATES CORP FINANCE BBB 1M SIMPLE SPREAD OVER GOVT</v>
          </cell>
          <cell r="C219" t="str">
            <v>Credit Spread Risk</v>
          </cell>
          <cell r="D219">
            <v>1</v>
          </cell>
          <cell r="E219" t="str">
            <v>N/A</v>
          </cell>
          <cell r="F219" t="str">
            <v>Decimal</v>
          </cell>
          <cell r="G219">
            <v>6.7929599999999998E-3</v>
          </cell>
          <cell r="H219">
            <v>6.8974199999999996E-3</v>
          </cell>
          <cell r="I219">
            <v>5.0511929999999997E-2</v>
          </cell>
          <cell r="J219">
            <v>4.4986569999999997E-2</v>
          </cell>
          <cell r="K219">
            <v>5.0198279999999998E-2</v>
          </cell>
          <cell r="L219">
            <v>4.8932330000000003E-2</v>
          </cell>
          <cell r="M219">
            <v>4.723111E-2</v>
          </cell>
          <cell r="N219">
            <v>4.4687619999999997E-2</v>
          </cell>
          <cell r="O219">
            <v>3.4508560000000001E-2</v>
          </cell>
          <cell r="P219">
            <v>3.4988470000000001E-2</v>
          </cell>
        </row>
        <row r="220">
          <cell r="A220" t="str">
            <v>CR.USD.CORP.FINANCE.BBB.SPRD.SIMPLE#3M</v>
          </cell>
          <cell r="B220" t="str">
            <v>UNITED STATES CORP FINANCE BBB 3M SIMPLE SPREAD OVER GOVT</v>
          </cell>
          <cell r="C220" t="str">
            <v>Credit Spread Risk</v>
          </cell>
          <cell r="D220">
            <v>1</v>
          </cell>
          <cell r="E220" t="str">
            <v>N/A</v>
          </cell>
          <cell r="F220" t="str">
            <v>Decimal</v>
          </cell>
          <cell r="G220">
            <v>6.7413000000000004E-3</v>
          </cell>
          <cell r="H220">
            <v>6.9288400000000003E-3</v>
          </cell>
          <cell r="I220">
            <v>5.05221E-2</v>
          </cell>
          <cell r="J220">
            <v>4.459308E-2</v>
          </cell>
          <cell r="K220">
            <v>5.0328240000000003E-2</v>
          </cell>
          <cell r="L220">
            <v>4.8861870000000002E-2</v>
          </cell>
          <cell r="M220">
            <v>4.738564E-2</v>
          </cell>
          <cell r="N220">
            <v>4.4922629999999998E-2</v>
          </cell>
          <cell r="O220">
            <v>3.4922120000000001E-2</v>
          </cell>
          <cell r="P220">
            <v>3.5190270000000003E-2</v>
          </cell>
        </row>
        <row r="221">
          <cell r="A221" t="str">
            <v>CR.USD.CORP.FINANCE.BBB.SPRD.SIMPLE#6M</v>
          </cell>
          <cell r="B221" t="str">
            <v>UNITED STATES CORP FINANCE BBB 6M SIMPLE SPREAD OVER GOVT</v>
          </cell>
          <cell r="C221" t="str">
            <v>Credit Spread Risk</v>
          </cell>
          <cell r="D221">
            <v>1</v>
          </cell>
          <cell r="E221" t="str">
            <v>N/A</v>
          </cell>
          <cell r="F221" t="str">
            <v>Decimal</v>
          </cell>
          <cell r="G221">
            <v>6.8560100000000001E-3</v>
          </cell>
          <cell r="H221">
            <v>7.1146999999999998E-3</v>
          </cell>
          <cell r="I221">
            <v>5.0225949999999998E-2</v>
          </cell>
          <cell r="J221">
            <v>4.720746E-2</v>
          </cell>
          <cell r="K221">
            <v>5.0421830000000001E-2</v>
          </cell>
          <cell r="L221">
            <v>4.8940650000000002E-2</v>
          </cell>
          <cell r="M221">
            <v>4.7724139999999998E-2</v>
          </cell>
          <cell r="N221">
            <v>4.54595E-2</v>
          </cell>
          <cell r="O221">
            <v>3.559064E-2</v>
          </cell>
          <cell r="P221">
            <v>3.6120890000000003E-2</v>
          </cell>
        </row>
        <row r="222">
          <cell r="A222" t="str">
            <v>CR.USD.CORP.FINANCE.CCC.SPRD.PAR#10Y</v>
          </cell>
          <cell r="B222" t="str">
            <v>UNITED STATES CORP FINANCE CCC 10Y PAR SPREAD OVER GOVT</v>
          </cell>
          <cell r="C222" t="str">
            <v>Credit Spread Risk</v>
          </cell>
          <cell r="D222">
            <v>1</v>
          </cell>
          <cell r="E222" t="str">
            <v>N/A</v>
          </cell>
          <cell r="F222" t="str">
            <v>Decimal</v>
          </cell>
          <cell r="G222">
            <v>0.10433481999999999</v>
          </cell>
          <cell r="H222">
            <v>0.10388321</v>
          </cell>
          <cell r="I222">
            <v>0.32297492999999999</v>
          </cell>
          <cell r="J222">
            <v>0.29881729000000001</v>
          </cell>
          <cell r="K222">
            <v>0.29347031000000001</v>
          </cell>
          <cell r="L222">
            <v>0.28657293</v>
          </cell>
          <cell r="M222">
            <v>0.28171266</v>
          </cell>
          <cell r="N222">
            <v>0.27373831999999998</v>
          </cell>
          <cell r="O222">
            <v>0.23978214</v>
          </cell>
          <cell r="P222">
            <v>0.22897880000000001</v>
          </cell>
        </row>
        <row r="223">
          <cell r="A223" t="str">
            <v>CR.USD.CORP.FINANCE.CCC.SPRD.PAR#15Y</v>
          </cell>
          <cell r="B223" t="str">
            <v>UNITED STATES CORP FINANCE CCC 15Y PAR SPREAD OVER GOVT</v>
          </cell>
          <cell r="C223" t="str">
            <v>Credit Spread Risk</v>
          </cell>
          <cell r="D223">
            <v>1</v>
          </cell>
          <cell r="E223" t="str">
            <v>N/A</v>
          </cell>
          <cell r="F223" t="str">
            <v>Decimal</v>
          </cell>
          <cell r="G223">
            <v>0.10341902</v>
          </cell>
          <cell r="H223">
            <v>0.10289252</v>
          </cell>
          <cell r="I223">
            <v>0.31833310999999997</v>
          </cell>
          <cell r="J223">
            <v>0.29406426000000002</v>
          </cell>
          <cell r="K223">
            <v>0.28874094</v>
          </cell>
          <cell r="L223">
            <v>0.28178066000000002</v>
          </cell>
          <cell r="M223">
            <v>0.27670840000000002</v>
          </cell>
          <cell r="N223">
            <v>0.26846884999999998</v>
          </cell>
          <cell r="O223">
            <v>0.23425778999999999</v>
          </cell>
          <cell r="P223">
            <v>0.22347935999999999</v>
          </cell>
        </row>
        <row r="224">
          <cell r="A224" t="str">
            <v>CR.USD.CORP.FINANCE.CCC.SPRD.PAR#20Y</v>
          </cell>
          <cell r="B224" t="str">
            <v>UNITED STATES CORP FINANCE CCC 20Y PAR SPREAD OVER GOVT</v>
          </cell>
          <cell r="C224" t="str">
            <v>Credit Spread Risk</v>
          </cell>
          <cell r="D224">
            <v>1</v>
          </cell>
          <cell r="E224" t="str">
            <v>N/A</v>
          </cell>
          <cell r="F224" t="str">
            <v>Decimal</v>
          </cell>
          <cell r="G224">
            <v>0.10213481000000001</v>
          </cell>
          <cell r="H224">
            <v>0.10146897000000001</v>
          </cell>
          <cell r="I224">
            <v>0.31580111</v>
          </cell>
          <cell r="J224">
            <v>0.29141003999999998</v>
          </cell>
          <cell r="K224">
            <v>0.28612884</v>
          </cell>
          <cell r="L224">
            <v>0.27923925999999999</v>
          </cell>
          <cell r="M224">
            <v>0.27415635999999999</v>
          </cell>
          <cell r="N224">
            <v>0.26591161000000002</v>
          </cell>
          <cell r="O224">
            <v>0.23157949</v>
          </cell>
          <cell r="P224">
            <v>0.22072541000000001</v>
          </cell>
        </row>
        <row r="225">
          <cell r="A225" t="str">
            <v>CR.USD.CORP.FINANCE.CCC.SPRD.PAR#2Y</v>
          </cell>
          <cell r="B225" t="str">
            <v>UNITED STATES CORP FINANCE CCC 2Y PAR SPREAD OVER GOVT</v>
          </cell>
          <cell r="C225" t="str">
            <v>Credit Spread Risk</v>
          </cell>
          <cell r="D225">
            <v>1</v>
          </cell>
          <cell r="E225" t="str">
            <v>N/A</v>
          </cell>
          <cell r="F225" t="str">
            <v>Decimal</v>
          </cell>
          <cell r="G225">
            <v>0.10718827</v>
          </cell>
          <cell r="H225">
            <v>0.10682587</v>
          </cell>
          <cell r="I225">
            <v>0.33566402000000001</v>
          </cell>
          <cell r="J225">
            <v>0.31057753999999999</v>
          </cell>
          <cell r="K225">
            <v>0.30358959000000002</v>
          </cell>
          <cell r="L225">
            <v>0.2956705</v>
          </cell>
          <cell r="M225">
            <v>0.29047126000000001</v>
          </cell>
          <cell r="N225">
            <v>0.28276015999999998</v>
          </cell>
          <cell r="O225">
            <v>0.25107794</v>
          </cell>
          <cell r="P225">
            <v>0.23986146</v>
          </cell>
        </row>
        <row r="226">
          <cell r="A226" t="str">
            <v>CR.USD.CORP.FINANCE.CCC.SPRD.PAR#30Y</v>
          </cell>
          <cell r="B226" t="str">
            <v>UNITED STATES CORP FINANCE CCC 30Y PAR SPREAD OVER GOVT</v>
          </cell>
          <cell r="C226" t="str">
            <v>Credit Spread Risk</v>
          </cell>
          <cell r="D226">
            <v>1</v>
          </cell>
          <cell r="E226" t="str">
            <v>N/A</v>
          </cell>
          <cell r="F226" t="str">
            <v>Decimal</v>
          </cell>
          <cell r="G226">
            <v>0.10108454</v>
          </cell>
          <cell r="H226">
            <v>0.10026923</v>
          </cell>
          <cell r="I226">
            <v>0.31396974999999999</v>
          </cell>
          <cell r="J226">
            <v>0.28956036000000002</v>
          </cell>
          <cell r="K226">
            <v>0.28445277000000002</v>
          </cell>
          <cell r="L226">
            <v>0.27776079999999997</v>
          </cell>
          <cell r="M226">
            <v>0.27279334999999999</v>
          </cell>
          <cell r="N226">
            <v>0.26466608000000003</v>
          </cell>
          <cell r="O226">
            <v>0.23017467</v>
          </cell>
          <cell r="P226">
            <v>0.21918762</v>
          </cell>
        </row>
        <row r="227">
          <cell r="A227" t="str">
            <v>CR.USD.CORP.FINANCE.CCC.SPRD.PAR#3Y</v>
          </cell>
          <cell r="B227" t="str">
            <v>UNITED STATES CORP FINANCE CCC 3Y PAR SPREAD OVER GOVT</v>
          </cell>
          <cell r="C227" t="str">
            <v>Credit Spread Risk</v>
          </cell>
          <cell r="D227">
            <v>1</v>
          </cell>
          <cell r="E227" t="str">
            <v>N/A</v>
          </cell>
          <cell r="F227" t="str">
            <v>Decimal</v>
          </cell>
          <cell r="G227">
            <v>0.10668654</v>
          </cell>
          <cell r="H227">
            <v>0.1064416</v>
          </cell>
          <cell r="I227">
            <v>0.33493201</v>
          </cell>
          <cell r="J227">
            <v>0.31027080000000001</v>
          </cell>
          <cell r="K227">
            <v>0.30354753000000001</v>
          </cell>
          <cell r="L227">
            <v>0.29548740000000001</v>
          </cell>
          <cell r="M227">
            <v>0.29008105000000001</v>
          </cell>
          <cell r="N227">
            <v>0.28201289000000002</v>
          </cell>
          <cell r="O227">
            <v>0.24979649000000001</v>
          </cell>
          <cell r="P227">
            <v>0.23864184999999999</v>
          </cell>
        </row>
        <row r="228">
          <cell r="A228" t="str">
            <v>CR.USD.CORP.FINANCE.CCC.SPRD.PAR#5Y</v>
          </cell>
          <cell r="B228" t="str">
            <v>UNITED STATES CORP FINANCE CCC 5Y PAR SPREAD OVER GOVT</v>
          </cell>
          <cell r="C228" t="str">
            <v>Credit Spread Risk</v>
          </cell>
          <cell r="D228">
            <v>1</v>
          </cell>
          <cell r="E228" t="str">
            <v>N/A</v>
          </cell>
          <cell r="F228" t="str">
            <v>Decimal</v>
          </cell>
          <cell r="G228">
            <v>0.10571609999999999</v>
          </cell>
          <cell r="H228">
            <v>0.10529122</v>
          </cell>
          <cell r="I228">
            <v>0.33248871000000002</v>
          </cell>
          <cell r="J228">
            <v>0.30795877999999999</v>
          </cell>
          <cell r="K228">
            <v>0.30126701</v>
          </cell>
          <cell r="L228">
            <v>0.29362771999999998</v>
          </cell>
          <cell r="M228">
            <v>0.28849604000000001</v>
          </cell>
          <cell r="N228">
            <v>0.28067165999999999</v>
          </cell>
          <cell r="O228">
            <v>0.24851651999999999</v>
          </cell>
          <cell r="P228">
            <v>0.23725953</v>
          </cell>
        </row>
        <row r="229">
          <cell r="A229" t="str">
            <v>CR.USD.CORP.FINANCE.CCC.SPRD.PAR#7Y</v>
          </cell>
          <cell r="B229" t="str">
            <v>UNITED STATES CORP FINANCE CCC 7Y PAR SPREAD OVER GOVT</v>
          </cell>
          <cell r="C229" t="str">
            <v>Credit Spread Risk</v>
          </cell>
          <cell r="D229">
            <v>1</v>
          </cell>
          <cell r="E229" t="str">
            <v>N/A</v>
          </cell>
          <cell r="F229" t="str">
            <v>Decimal</v>
          </cell>
          <cell r="G229">
            <v>0.10491349</v>
          </cell>
          <cell r="H229">
            <v>0.10444475</v>
          </cell>
          <cell r="I229">
            <v>0.32763268000000001</v>
          </cell>
          <cell r="J229">
            <v>0.30340207000000002</v>
          </cell>
          <cell r="K229">
            <v>0.29742781000000001</v>
          </cell>
          <cell r="L229">
            <v>0.29023487999999997</v>
          </cell>
          <cell r="M229">
            <v>0.28531682000000003</v>
          </cell>
          <cell r="N229">
            <v>0.27750530000000001</v>
          </cell>
          <cell r="O229">
            <v>0.24458451</v>
          </cell>
          <cell r="P229">
            <v>0.23359943999999999</v>
          </cell>
        </row>
        <row r="230">
          <cell r="A230" t="str">
            <v>CR.USD.CORP.FINANCE.CCC.SPRD.SIMPLE#12M</v>
          </cell>
          <cell r="B230" t="str">
            <v>UNITED STATES CORP FINANCE CCC 12M SIMPLE SPREAD OVER GOVT</v>
          </cell>
          <cell r="C230" t="str">
            <v>Credit Spread Risk</v>
          </cell>
          <cell r="D230">
            <v>1</v>
          </cell>
          <cell r="E230" t="str">
            <v>N/A</v>
          </cell>
          <cell r="F230" t="str">
            <v>Decimal</v>
          </cell>
          <cell r="G230">
            <v>0.10603781</v>
          </cell>
          <cell r="H230">
            <v>0.10617146</v>
          </cell>
          <cell r="I230">
            <v>0.33145564999999999</v>
          </cell>
          <cell r="J230">
            <v>0.30635837999999999</v>
          </cell>
          <cell r="K230">
            <v>0.29889303</v>
          </cell>
          <cell r="L230">
            <v>0.29065795</v>
          </cell>
          <cell r="M230">
            <v>0.28518637000000002</v>
          </cell>
          <cell r="N230">
            <v>0.27743646999999999</v>
          </cell>
          <cell r="O230">
            <v>0.24630371000000001</v>
          </cell>
          <cell r="P230">
            <v>0.23582622</v>
          </cell>
        </row>
        <row r="231">
          <cell r="A231" t="str">
            <v>CR.USD.CORP.FINANCE.CCC.SPRD.SIMPLE#1M</v>
          </cell>
          <cell r="B231" t="str">
            <v>UNITED STATES CORP FINANCE CCC 1M SIMPLE SPREAD OVER GOVT</v>
          </cell>
          <cell r="C231" t="str">
            <v>Credit Spread Risk</v>
          </cell>
          <cell r="D231">
            <v>1</v>
          </cell>
          <cell r="E231" t="str">
            <v>N/A</v>
          </cell>
          <cell r="F231" t="str">
            <v>Decimal</v>
          </cell>
          <cell r="G231">
            <v>0.10588909000000001</v>
          </cell>
          <cell r="H231">
            <v>0.10588357</v>
          </cell>
          <cell r="I231">
            <v>0.33165800000000001</v>
          </cell>
          <cell r="J231">
            <v>0.30700577000000001</v>
          </cell>
          <cell r="K231">
            <v>0.30165998999999999</v>
          </cell>
          <cell r="L231">
            <v>0.29294478000000002</v>
          </cell>
          <cell r="M231">
            <v>0.28612526999999999</v>
          </cell>
          <cell r="N231">
            <v>0.27714766000000002</v>
          </cell>
          <cell r="O231">
            <v>0.24604027000000001</v>
          </cell>
          <cell r="P231">
            <v>0.23551804000000001</v>
          </cell>
        </row>
        <row r="232">
          <cell r="A232" t="str">
            <v>CR.USD.CORP.FINANCE.CCC.SPRD.SIMPLE#3M</v>
          </cell>
          <cell r="B232" t="str">
            <v>UNITED STATES CORP FINANCE CCC 3M SIMPLE SPREAD OVER GOVT</v>
          </cell>
          <cell r="C232" t="str">
            <v>Credit Spread Risk</v>
          </cell>
          <cell r="D232">
            <v>1</v>
          </cell>
          <cell r="E232" t="str">
            <v>N/A</v>
          </cell>
          <cell r="F232" t="str">
            <v>Decimal</v>
          </cell>
          <cell r="G232">
            <v>0.10583745999999999</v>
          </cell>
          <cell r="H232">
            <v>0.10590727</v>
          </cell>
          <cell r="I232">
            <v>0.33165343000000003</v>
          </cell>
          <cell r="J232">
            <v>0.30650506999999999</v>
          </cell>
          <cell r="K232">
            <v>0.30121597</v>
          </cell>
          <cell r="L232">
            <v>0.29224093000000001</v>
          </cell>
          <cell r="M232">
            <v>0.28571034000000001</v>
          </cell>
          <cell r="N232">
            <v>0.27678512</v>
          </cell>
          <cell r="O232">
            <v>0.24594965999999999</v>
          </cell>
          <cell r="P232">
            <v>0.23514715999999999</v>
          </cell>
        </row>
        <row r="233">
          <cell r="A233" t="str">
            <v>CR.USD.CORP.FINANCE.CCC.SPRD.SIMPLE#6M</v>
          </cell>
          <cell r="B233" t="str">
            <v>UNITED STATES CORP FINANCE CCC 6M SIMPLE SPREAD OVER GOVT</v>
          </cell>
          <cell r="C233" t="str">
            <v>Credit Spread Risk</v>
          </cell>
          <cell r="D233">
            <v>1</v>
          </cell>
          <cell r="E233" t="str">
            <v>N/A</v>
          </cell>
          <cell r="F233" t="str">
            <v>Decimal</v>
          </cell>
          <cell r="G233">
            <v>0.10595109</v>
          </cell>
          <cell r="H233">
            <v>0.10607678</v>
          </cell>
          <cell r="I233">
            <v>0.33129235000000001</v>
          </cell>
          <cell r="J233">
            <v>0.30718314000000002</v>
          </cell>
          <cell r="K233">
            <v>0.30034590999999999</v>
          </cell>
          <cell r="L233">
            <v>0.29141487999999999</v>
          </cell>
          <cell r="M233">
            <v>0.28514360999999999</v>
          </cell>
          <cell r="N233">
            <v>0.27719811999999999</v>
          </cell>
          <cell r="O233">
            <v>0.24591283999999999</v>
          </cell>
          <cell r="P233">
            <v>0.23541793</v>
          </cell>
        </row>
        <row r="234">
          <cell r="A234" t="str">
            <v>CR.USD.CORP.NONFINANCE.A.SPRD.PAR#10Y</v>
          </cell>
          <cell r="B234" t="str">
            <v>UNITED STATES CORP NONFINANCE A 10Y PAR SPREAD OVER GOVT</v>
          </cell>
          <cell r="C234" t="str">
            <v>Credit Spread Risk</v>
          </cell>
          <cell r="D234">
            <v>1</v>
          </cell>
          <cell r="E234" t="str">
            <v>N/A</v>
          </cell>
          <cell r="F234" t="str">
            <v>Decimal</v>
          </cell>
          <cell r="G234">
            <v>9.9237100000000005E-3</v>
          </cell>
          <cell r="H234">
            <v>1.015865E-2</v>
          </cell>
          <cell r="I234">
            <v>2.9526070000000001E-2</v>
          </cell>
          <cell r="J234">
            <v>2.641224E-2</v>
          </cell>
          <cell r="K234">
            <v>2.566912E-2</v>
          </cell>
          <cell r="L234">
            <v>2.4233919999999999E-2</v>
          </cell>
          <cell r="M234">
            <v>2.298248E-2</v>
          </cell>
          <cell r="N234">
            <v>2.143138E-2</v>
          </cell>
          <cell r="O234">
            <v>1.7441169999999999E-2</v>
          </cell>
          <cell r="P234">
            <v>1.712549E-2</v>
          </cell>
        </row>
        <row r="235">
          <cell r="A235" t="str">
            <v>CR.USD.CORP.NONFINANCE.A.SPRD.PAR#15Y</v>
          </cell>
          <cell r="B235" t="str">
            <v>UNITED STATES CORP NONFINANCE A 15Y PAR SPREAD OVER GOVT</v>
          </cell>
          <cell r="C235" t="str">
            <v>Credit Spread Risk</v>
          </cell>
          <cell r="D235">
            <v>1</v>
          </cell>
          <cell r="E235" t="str">
            <v>N/A</v>
          </cell>
          <cell r="F235" t="str">
            <v>Decimal</v>
          </cell>
          <cell r="G235">
            <v>1.144948E-2</v>
          </cell>
          <cell r="H235">
            <v>1.158322E-2</v>
          </cell>
          <cell r="I235">
            <v>2.9721339999999999E-2</v>
          </cell>
          <cell r="J235">
            <v>2.686146E-2</v>
          </cell>
          <cell r="K235">
            <v>2.5706099999999999E-2</v>
          </cell>
          <cell r="L235">
            <v>2.4103579999999999E-2</v>
          </cell>
          <cell r="M235">
            <v>2.2673579999999999E-2</v>
          </cell>
          <cell r="N235">
            <v>2.110795E-2</v>
          </cell>
          <cell r="O235">
            <v>1.7956880000000001E-2</v>
          </cell>
          <cell r="P235">
            <v>1.7368499999999999E-2</v>
          </cell>
        </row>
        <row r="236">
          <cell r="A236" t="str">
            <v>CR.USD.CORP.NONFINANCE.A.SPRD.PAR#20Y</v>
          </cell>
          <cell r="B236" t="str">
            <v>UNITED STATES CORP NONFINANCE A 20Y PAR SPREAD OVER GOVT</v>
          </cell>
          <cell r="C236" t="str">
            <v>Credit Spread Risk</v>
          </cell>
          <cell r="D236">
            <v>1</v>
          </cell>
          <cell r="E236" t="str">
            <v>N/A</v>
          </cell>
          <cell r="F236" t="str">
            <v>Decimal</v>
          </cell>
          <cell r="G236">
            <v>1.15227E-2</v>
          </cell>
          <cell r="H236">
            <v>1.1588090000000001E-2</v>
          </cell>
          <cell r="I236">
            <v>2.8863929999999999E-2</v>
          </cell>
          <cell r="J236">
            <v>2.5846060000000001E-2</v>
          </cell>
          <cell r="K236">
            <v>2.4473200000000001E-2</v>
          </cell>
          <cell r="L236">
            <v>2.2789009999999998E-2</v>
          </cell>
          <cell r="M236">
            <v>2.129824E-2</v>
          </cell>
          <cell r="N236">
            <v>1.9742470000000002E-2</v>
          </cell>
          <cell r="O236">
            <v>1.686648E-2</v>
          </cell>
          <cell r="P236">
            <v>1.6272930000000001E-2</v>
          </cell>
        </row>
        <row r="237">
          <cell r="A237" t="str">
            <v>CR.USD.CORP.NONFINANCE.A.SPRD.PAR#2Y</v>
          </cell>
          <cell r="B237" t="str">
            <v>UNITED STATES CORP NONFINANCE A 2Y PAR SPREAD OVER GOVT</v>
          </cell>
          <cell r="C237" t="str">
            <v>Credit Spread Risk</v>
          </cell>
          <cell r="D237">
            <v>1</v>
          </cell>
          <cell r="E237" t="str">
            <v>N/A</v>
          </cell>
          <cell r="F237" t="str">
            <v>Decimal</v>
          </cell>
          <cell r="G237">
            <v>4.8618999999999997E-3</v>
          </cell>
          <cell r="H237">
            <v>5.2019099999999997E-3</v>
          </cell>
          <cell r="I237">
            <v>2.612807E-2</v>
          </cell>
          <cell r="J237">
            <v>2.2697519999999999E-2</v>
          </cell>
          <cell r="K237">
            <v>2.2264369999999999E-2</v>
          </cell>
          <cell r="L237">
            <v>2.0264770000000001E-2</v>
          </cell>
          <cell r="M237">
            <v>1.8629779999999999E-2</v>
          </cell>
          <cell r="N237">
            <v>1.6842949999999999E-2</v>
          </cell>
          <cell r="O237">
            <v>1.2519199999999999E-2</v>
          </cell>
          <cell r="P237">
            <v>1.261314E-2</v>
          </cell>
        </row>
        <row r="238">
          <cell r="A238" t="str">
            <v>CR.USD.CORP.NONFINANCE.A.SPRD.PAR#30Y</v>
          </cell>
          <cell r="B238" t="str">
            <v>UNITED STATES CORP NONFINANCE A 30Y PAR SPREAD OVER GOVT</v>
          </cell>
          <cell r="C238" t="str">
            <v>Credit Spread Risk</v>
          </cell>
          <cell r="D238">
            <v>1</v>
          </cell>
          <cell r="E238" t="str">
            <v>N/A</v>
          </cell>
          <cell r="F238" t="str">
            <v>Decimal</v>
          </cell>
          <cell r="G238">
            <v>1.176316E-2</v>
          </cell>
          <cell r="H238">
            <v>1.1833969999999999E-2</v>
          </cell>
          <cell r="I238">
            <v>2.877702E-2</v>
          </cell>
          <cell r="J238">
            <v>2.6092500000000001E-2</v>
          </cell>
          <cell r="K238">
            <v>2.504605E-2</v>
          </cell>
          <cell r="L238">
            <v>2.3682600000000002E-2</v>
          </cell>
          <cell r="M238">
            <v>2.247675E-2</v>
          </cell>
          <cell r="N238">
            <v>2.1173620000000001E-2</v>
          </cell>
          <cell r="O238">
            <v>1.8333849999999999E-2</v>
          </cell>
          <cell r="P238">
            <v>1.773779E-2</v>
          </cell>
        </row>
        <row r="239">
          <cell r="A239" t="str">
            <v>CR.USD.CORP.NONFINANCE.A.SPRD.PAR#3Y</v>
          </cell>
          <cell r="B239" t="str">
            <v>UNITED STATES CORP NONFINANCE A 3Y PAR SPREAD OVER GOVT</v>
          </cell>
          <cell r="C239" t="str">
            <v>Credit Spread Risk</v>
          </cell>
          <cell r="D239">
            <v>1</v>
          </cell>
          <cell r="E239" t="str">
            <v>N/A</v>
          </cell>
          <cell r="F239" t="str">
            <v>Decimal</v>
          </cell>
          <cell r="G239">
            <v>5.8743800000000002E-3</v>
          </cell>
          <cell r="H239">
            <v>6.0926000000000001E-3</v>
          </cell>
          <cell r="I239">
            <v>2.682228E-2</v>
          </cell>
          <cell r="J239">
            <v>2.3225369999999999E-2</v>
          </cell>
          <cell r="K239">
            <v>2.2504659999999999E-2</v>
          </cell>
          <cell r="L239">
            <v>2.0871529999999999E-2</v>
          </cell>
          <cell r="M239">
            <v>1.9578430000000001E-2</v>
          </cell>
          <cell r="N239">
            <v>1.8086709999999999E-2</v>
          </cell>
          <cell r="O239">
            <v>1.4027950000000001E-2</v>
          </cell>
          <cell r="P239">
            <v>1.376195E-2</v>
          </cell>
        </row>
        <row r="240">
          <cell r="A240" t="str">
            <v>CR.USD.CORP.NONFINANCE.A.SPRD.PAR#5Y</v>
          </cell>
          <cell r="B240" t="str">
            <v>UNITED STATES CORP NONFINANCE A 5Y PAR SPREAD OVER GOVT</v>
          </cell>
          <cell r="C240" t="str">
            <v>Credit Spread Risk</v>
          </cell>
          <cell r="D240">
            <v>1</v>
          </cell>
          <cell r="E240" t="str">
            <v>N/A</v>
          </cell>
          <cell r="F240" t="str">
            <v>Decimal</v>
          </cell>
          <cell r="G240">
            <v>7.4543300000000003E-3</v>
          </cell>
          <cell r="H240">
            <v>7.6787699999999997E-3</v>
          </cell>
          <cell r="I240">
            <v>2.8259320000000001E-2</v>
          </cell>
          <cell r="J240">
            <v>2.4673049999999998E-2</v>
          </cell>
          <cell r="K240">
            <v>2.3877180000000001E-2</v>
          </cell>
          <cell r="L240">
            <v>2.2236329999999999E-2</v>
          </cell>
          <cell r="M240">
            <v>2.0879100000000001E-2</v>
          </cell>
          <cell r="N240">
            <v>1.9258109999999998E-2</v>
          </cell>
          <cell r="O240">
            <v>1.501624E-2</v>
          </cell>
          <cell r="P240">
            <v>1.468564E-2</v>
          </cell>
        </row>
        <row r="241">
          <cell r="A241" t="str">
            <v>CR.USD.CORP.NONFINANCE.A.SPRD.PAR#7Y</v>
          </cell>
          <cell r="B241" t="str">
            <v>UNITED STATES CORP NONFINANCE A 7Y PAR SPREAD OVER GOVT</v>
          </cell>
          <cell r="C241" t="str">
            <v>Credit Spread Risk</v>
          </cell>
          <cell r="D241">
            <v>1</v>
          </cell>
          <cell r="E241" t="str">
            <v>N/A</v>
          </cell>
          <cell r="F241" t="str">
            <v>Decimal</v>
          </cell>
          <cell r="G241">
            <v>8.6046100000000004E-3</v>
          </cell>
          <cell r="H241">
            <v>8.7698499999999992E-3</v>
          </cell>
          <cell r="I241">
            <v>2.8781890000000001E-2</v>
          </cell>
          <cell r="J241">
            <v>2.5360580000000001E-2</v>
          </cell>
          <cell r="K241">
            <v>2.4556109999999999E-2</v>
          </cell>
          <cell r="L241">
            <v>2.2981189999999999E-2</v>
          </cell>
          <cell r="M241">
            <v>2.164052E-2</v>
          </cell>
          <cell r="N241">
            <v>2.0001479999999999E-2</v>
          </cell>
          <cell r="O241">
            <v>1.578771E-2</v>
          </cell>
          <cell r="P241">
            <v>1.5651120000000001E-2</v>
          </cell>
        </row>
        <row r="242">
          <cell r="A242" t="str">
            <v>CR.USD.CORP.NONFINANCE.A.SPRD.SIMPLE#12M</v>
          </cell>
          <cell r="B242" t="str">
            <v>UNITED STATES CORP NONFINANCE A 12M SIMPLE SPREAD OVER GOVT</v>
          </cell>
          <cell r="C242" t="str">
            <v>Credit Spread Risk</v>
          </cell>
          <cell r="D242">
            <v>1</v>
          </cell>
          <cell r="E242" t="str">
            <v>N/A</v>
          </cell>
          <cell r="F242" t="str">
            <v>Decimal</v>
          </cell>
          <cell r="G242">
            <v>3.7910499999999998E-3</v>
          </cell>
          <cell r="H242">
            <v>4.5550299999999998E-3</v>
          </cell>
          <cell r="I242">
            <v>2.5309689999999999E-2</v>
          </cell>
          <cell r="J242">
            <v>2.1693400000000002E-2</v>
          </cell>
          <cell r="K242">
            <v>2.088315E-2</v>
          </cell>
          <cell r="L242">
            <v>1.889031E-2</v>
          </cell>
          <cell r="M242">
            <v>1.7421820000000001E-2</v>
          </cell>
          <cell r="N242">
            <v>1.6057660000000001E-2</v>
          </cell>
          <cell r="O242">
            <v>1.244398E-2</v>
          </cell>
          <cell r="P242">
            <v>1.200378E-2</v>
          </cell>
        </row>
        <row r="243">
          <cell r="A243" t="str">
            <v>CR.USD.CORP.NONFINANCE.A.SPRD.SIMPLE#1M</v>
          </cell>
          <cell r="B243" t="str">
            <v>UNITED STATES CORP NONFINANCE A 1M SIMPLE SPREAD OVER GOVT</v>
          </cell>
          <cell r="C243" t="str">
            <v>Credit Spread Risk</v>
          </cell>
          <cell r="D243">
            <v>1</v>
          </cell>
          <cell r="E243" t="str">
            <v>N/A</v>
          </cell>
          <cell r="F243" t="str">
            <v>Decimal</v>
          </cell>
          <cell r="G243">
            <v>3.6396499999999999E-3</v>
          </cell>
          <cell r="H243">
            <v>3.7723700000000002E-3</v>
          </cell>
          <cell r="I243">
            <v>2.4370180000000002E-2</v>
          </cell>
          <cell r="J243">
            <v>2.0282250000000002E-2</v>
          </cell>
          <cell r="K243">
            <v>2.1899979999999999E-2</v>
          </cell>
          <cell r="L243">
            <v>1.9509289999999999E-2</v>
          </cell>
          <cell r="M243">
            <v>1.6882970000000001E-2</v>
          </cell>
          <cell r="N243">
            <v>1.4501669999999999E-2</v>
          </cell>
          <cell r="O243">
            <v>1.069172E-2</v>
          </cell>
          <cell r="P243">
            <v>1.118655E-2</v>
          </cell>
        </row>
        <row r="244">
          <cell r="A244" t="str">
            <v>CR.USD.CORP.NONFINANCE.A.SPRD.SIMPLE#3M</v>
          </cell>
          <cell r="B244" t="str">
            <v>UNITED STATES CORP NONFINANCE A 3M SIMPLE SPREAD OVER GOVT</v>
          </cell>
          <cell r="C244" t="str">
            <v>Credit Spread Risk</v>
          </cell>
          <cell r="D244">
            <v>1</v>
          </cell>
          <cell r="E244" t="str">
            <v>N/A</v>
          </cell>
          <cell r="F244" t="str">
            <v>Decimal</v>
          </cell>
          <cell r="G244">
            <v>3.588E-3</v>
          </cell>
          <cell r="H244">
            <v>3.8037499999999998E-3</v>
          </cell>
          <cell r="I244">
            <v>2.4380220000000001E-2</v>
          </cell>
          <cell r="J244">
            <v>1.9897350000000001E-2</v>
          </cell>
          <cell r="K244">
            <v>2.174506E-2</v>
          </cell>
          <cell r="L244">
            <v>1.916731E-2</v>
          </cell>
          <cell r="M244">
            <v>1.6752590000000001E-2</v>
          </cell>
          <cell r="N244">
            <v>1.4455849999999999E-2</v>
          </cell>
          <cell r="O244">
            <v>1.090322E-2</v>
          </cell>
          <cell r="P244">
            <v>1.1203599999999999E-2</v>
          </cell>
        </row>
        <row r="245">
          <cell r="A245" t="str">
            <v>CR.USD.CORP.NONFINANCE.A.SPRD.SIMPLE#6M</v>
          </cell>
          <cell r="B245" t="str">
            <v>UNITED STATES CORP NONFINANCE A 6M SIMPLE SPREAD OVER GOVT</v>
          </cell>
          <cell r="C245" t="str">
            <v>Credit Spread Risk</v>
          </cell>
          <cell r="D245">
            <v>1</v>
          </cell>
          <cell r="E245" t="str">
            <v>N/A</v>
          </cell>
          <cell r="F245" t="str">
            <v>Decimal</v>
          </cell>
          <cell r="G245">
            <v>3.70229E-3</v>
          </cell>
          <cell r="H245">
            <v>3.9893200000000002E-3</v>
          </cell>
          <cell r="I245">
            <v>2.4087839999999999E-2</v>
          </cell>
          <cell r="J245">
            <v>2.1429320000000002E-2</v>
          </cell>
          <cell r="K245">
            <v>2.14261E-2</v>
          </cell>
          <cell r="L245">
            <v>1.8827699999999999E-2</v>
          </cell>
          <cell r="M245">
            <v>1.6667419999999999E-2</v>
          </cell>
          <cell r="N245">
            <v>1.507665E-2</v>
          </cell>
          <cell r="O245">
            <v>1.1269390000000001E-2</v>
          </cell>
          <cell r="P245">
            <v>1.182266E-2</v>
          </cell>
        </row>
        <row r="246">
          <cell r="A246" t="str">
            <v>CR.USD.CORP.NONFINANCE.AA.SPRD.PAR#10Y</v>
          </cell>
          <cell r="B246" t="str">
            <v>UNITED STATES CORP NONFINANCE AA 10Y PAR SPREAD OVER GOVT</v>
          </cell>
          <cell r="C246" t="str">
            <v>Credit Spread Risk</v>
          </cell>
          <cell r="D246">
            <v>1</v>
          </cell>
          <cell r="E246" t="str">
            <v>N/A</v>
          </cell>
          <cell r="F246" t="str">
            <v>Decimal</v>
          </cell>
          <cell r="G246">
            <v>7.4642299999999996E-3</v>
          </cell>
          <cell r="H246">
            <v>7.7524600000000001E-3</v>
          </cell>
          <cell r="I246">
            <v>2.0441109999999998E-2</v>
          </cell>
          <cell r="J246">
            <v>1.8728180000000001E-2</v>
          </cell>
          <cell r="K246">
            <v>1.826492E-2</v>
          </cell>
          <cell r="L246">
            <v>1.7487079999999999E-2</v>
          </cell>
          <cell r="M246">
            <v>1.6871250000000001E-2</v>
          </cell>
          <cell r="N246">
            <v>1.6160629999999999E-2</v>
          </cell>
          <cell r="O246">
            <v>1.415894E-2</v>
          </cell>
          <cell r="P246">
            <v>1.405442E-2</v>
          </cell>
        </row>
        <row r="247">
          <cell r="A247" t="str">
            <v>CR.USD.CORP.NONFINANCE.AA.SPRD.PAR#15Y</v>
          </cell>
          <cell r="B247" t="str">
            <v>UNITED STATES CORP NONFINANCE AA 15Y PAR SPREAD OVER GOVT</v>
          </cell>
          <cell r="C247" t="str">
            <v>Credit Spread Risk</v>
          </cell>
          <cell r="D247">
            <v>1</v>
          </cell>
          <cell r="E247" t="str">
            <v>N/A</v>
          </cell>
          <cell r="F247" t="str">
            <v>Decimal</v>
          </cell>
          <cell r="G247">
            <v>9.7207600000000002E-3</v>
          </cell>
          <cell r="H247">
            <v>9.9077999999999996E-3</v>
          </cell>
          <cell r="I247">
            <v>2.2147940000000001E-2</v>
          </cell>
          <cell r="J247">
            <v>2.0567660000000001E-2</v>
          </cell>
          <cell r="K247">
            <v>1.9713519999999998E-2</v>
          </cell>
          <cell r="L247">
            <v>1.8714629999999999E-2</v>
          </cell>
          <cell r="M247">
            <v>1.7865160000000001E-2</v>
          </cell>
          <cell r="N247">
            <v>1.703936E-2</v>
          </cell>
          <cell r="O247">
            <v>1.554122E-2</v>
          </cell>
          <cell r="P247">
            <v>1.512956E-2</v>
          </cell>
        </row>
        <row r="248">
          <cell r="A248" t="str">
            <v>CR.USD.CORP.NONFINANCE.AA.SPRD.PAR#20Y</v>
          </cell>
          <cell r="B248" t="str">
            <v>UNITED STATES CORP NONFINANCE AA 20Y PAR SPREAD OVER GOVT</v>
          </cell>
          <cell r="C248" t="str">
            <v>Credit Spread Risk</v>
          </cell>
          <cell r="D248">
            <v>1</v>
          </cell>
          <cell r="E248" t="str">
            <v>N/A</v>
          </cell>
          <cell r="F248" t="str">
            <v>Decimal</v>
          </cell>
          <cell r="G248">
            <v>1.0191209999999999E-2</v>
          </cell>
          <cell r="H248">
            <v>1.031139E-2</v>
          </cell>
          <cell r="I248">
            <v>2.2235669999999999E-2</v>
          </cell>
          <cell r="J248">
            <v>2.0465520000000001E-2</v>
          </cell>
          <cell r="K248">
            <v>1.9359999999999999E-2</v>
          </cell>
          <cell r="L248">
            <v>1.823864E-2</v>
          </cell>
          <cell r="M248">
            <v>1.7292439999999999E-2</v>
          </cell>
          <cell r="N248">
            <v>1.6438950000000001E-2</v>
          </cell>
          <cell r="O248">
            <v>1.514446E-2</v>
          </cell>
          <cell r="P248">
            <v>1.466959E-2</v>
          </cell>
        </row>
        <row r="249">
          <cell r="A249" t="str">
            <v>CR.USD.CORP.NONFINANCE.AA.SPRD.PAR#2Y</v>
          </cell>
          <cell r="B249" t="str">
            <v>UNITED STATES CORP NONFINANCE AA 2Y PAR SPREAD OVER GOVT</v>
          </cell>
          <cell r="C249" t="str">
            <v>Credit Spread Risk</v>
          </cell>
          <cell r="D249">
            <v>1</v>
          </cell>
          <cell r="E249" t="str">
            <v>N/A</v>
          </cell>
          <cell r="F249" t="str">
            <v>Decimal</v>
          </cell>
          <cell r="G249">
            <v>1.2812399999999999E-3</v>
          </cell>
          <cell r="H249">
            <v>1.59121E-3</v>
          </cell>
          <cell r="I249">
            <v>1.330919E-2</v>
          </cell>
          <cell r="J249">
            <v>1.109828E-2</v>
          </cell>
          <cell r="K249">
            <v>1.059788E-2</v>
          </cell>
          <cell r="L249">
            <v>9.3560999999999991E-3</v>
          </cell>
          <cell r="M249">
            <v>8.4825999999999999E-3</v>
          </cell>
          <cell r="N249">
            <v>7.7394400000000002E-3</v>
          </cell>
          <cell r="O249">
            <v>5.8189599999999998E-3</v>
          </cell>
          <cell r="P249">
            <v>6.2458699999999997E-3</v>
          </cell>
        </row>
        <row r="250">
          <cell r="A250" t="str">
            <v>CR.USD.CORP.NONFINANCE.AA.SPRD.PAR#30Y</v>
          </cell>
          <cell r="B250" t="str">
            <v>UNITED STATES CORP NONFINANCE AA 30Y PAR SPREAD OVER GOVT</v>
          </cell>
          <cell r="C250" t="str">
            <v>Credit Spread Risk</v>
          </cell>
          <cell r="D250">
            <v>1</v>
          </cell>
          <cell r="E250" t="str">
            <v>N/A</v>
          </cell>
          <cell r="F250" t="str">
            <v>Decimal</v>
          </cell>
          <cell r="G250">
            <v>1.098477E-2</v>
          </cell>
          <cell r="H250">
            <v>1.1111879999999999E-2</v>
          </cell>
          <cell r="I250">
            <v>2.3145269999999999E-2</v>
          </cell>
          <cell r="J250">
            <v>2.1623E-2</v>
          </cell>
          <cell r="K250">
            <v>2.0807679999999999E-2</v>
          </cell>
          <cell r="L250">
            <v>1.9931790000000001E-2</v>
          </cell>
          <cell r="M250">
            <v>1.9194550000000001E-2</v>
          </cell>
          <cell r="N250">
            <v>1.8497369999999999E-2</v>
          </cell>
          <cell r="O250">
            <v>1.704257E-2</v>
          </cell>
          <cell r="P250">
            <v>1.650652E-2</v>
          </cell>
        </row>
        <row r="251">
          <cell r="A251" t="str">
            <v>CR.USD.CORP.NONFINANCE.AA.SPRD.PAR#3Y</v>
          </cell>
          <cell r="B251" t="str">
            <v>UNITED STATES CORP NONFINANCE AA 3Y PAR SPREAD OVER GOVT</v>
          </cell>
          <cell r="C251" t="str">
            <v>Credit Spread Risk</v>
          </cell>
          <cell r="D251">
            <v>1</v>
          </cell>
          <cell r="E251" t="str">
            <v>N/A</v>
          </cell>
          <cell r="F251" t="str">
            <v>Decimal</v>
          </cell>
          <cell r="G251">
            <v>1.6638E-3</v>
          </cell>
          <cell r="H251">
            <v>1.75015E-3</v>
          </cell>
          <cell r="I251">
            <v>1.3875530000000001E-2</v>
          </cell>
          <cell r="J251">
            <v>1.179645E-2</v>
          </cell>
          <cell r="K251">
            <v>1.1362540000000001E-2</v>
          </cell>
          <cell r="L251">
            <v>1.0504609999999999E-2</v>
          </cell>
          <cell r="M251">
            <v>9.9586799999999993E-3</v>
          </cell>
          <cell r="N251">
            <v>9.4634100000000002E-3</v>
          </cell>
          <cell r="O251">
            <v>7.7257300000000001E-3</v>
          </cell>
          <cell r="P251">
            <v>7.8472200000000002E-3</v>
          </cell>
        </row>
        <row r="252">
          <cell r="A252" t="str">
            <v>CR.USD.CORP.NONFINANCE.AA.SPRD.PAR#5Y</v>
          </cell>
          <cell r="B252" t="str">
            <v>UNITED STATES CORP NONFINANCE AA 5Y PAR SPREAD OVER GOVT</v>
          </cell>
          <cell r="C252" t="str">
            <v>Credit Spread Risk</v>
          </cell>
          <cell r="D252">
            <v>1</v>
          </cell>
          <cell r="E252" t="str">
            <v>N/A</v>
          </cell>
          <cell r="F252" t="str">
            <v>Decimal</v>
          </cell>
          <cell r="G252">
            <v>3.5166799999999999E-3</v>
          </cell>
          <cell r="H252">
            <v>3.7492599999999999E-3</v>
          </cell>
          <cell r="I252">
            <v>1.5914350000000001E-2</v>
          </cell>
          <cell r="J252">
            <v>1.3978849999999999E-2</v>
          </cell>
          <cell r="K252">
            <v>1.360871E-2</v>
          </cell>
          <cell r="L252">
            <v>1.282109E-2</v>
          </cell>
          <cell r="M252">
            <v>1.227527E-2</v>
          </cell>
          <cell r="N252">
            <v>1.169536E-2</v>
          </cell>
          <cell r="O252">
            <v>9.7986400000000008E-3</v>
          </cell>
          <cell r="P252">
            <v>9.81367E-3</v>
          </cell>
        </row>
        <row r="253">
          <cell r="A253" t="str">
            <v>CR.USD.CORP.NONFINANCE.AA.SPRD.PAR#7Y</v>
          </cell>
          <cell r="B253" t="str">
            <v>UNITED STATES CORP NONFINANCE AA 7Y PAR SPREAD OVER GOVT</v>
          </cell>
          <cell r="C253" t="str">
            <v>Credit Spread Risk</v>
          </cell>
          <cell r="D253">
            <v>1</v>
          </cell>
          <cell r="E253" t="str">
            <v>N/A</v>
          </cell>
          <cell r="F253" t="str">
            <v>Decimal</v>
          </cell>
          <cell r="G253">
            <v>5.3331899999999998E-3</v>
          </cell>
          <cell r="H253">
            <v>5.5461099999999999E-3</v>
          </cell>
          <cell r="I253">
            <v>1.7890730000000001E-2</v>
          </cell>
          <cell r="J253">
            <v>1.6028609999999999E-2</v>
          </cell>
          <cell r="K253">
            <v>1.560168E-2</v>
          </cell>
          <cell r="L253">
            <v>1.480424E-2</v>
          </cell>
          <cell r="M253">
            <v>1.4206379999999999E-2</v>
          </cell>
          <cell r="N253">
            <v>1.3527249999999999E-2</v>
          </cell>
          <cell r="O253">
            <v>1.1515330000000001E-2</v>
          </cell>
          <cell r="P253">
            <v>1.168464E-2</v>
          </cell>
        </row>
        <row r="254">
          <cell r="A254" t="str">
            <v>CR.USD.CORP.NONFINANCE.AA.SPRD.SIMPLE#12M</v>
          </cell>
          <cell r="B254" t="str">
            <v>UNITED STATES CORP NONFINANCE AA 12M SIMPLE SPREAD OVER GOVT</v>
          </cell>
          <cell r="C254" t="str">
            <v>Credit Spread Risk</v>
          </cell>
          <cell r="D254">
            <v>1</v>
          </cell>
          <cell r="E254" t="str">
            <v>N/A</v>
          </cell>
          <cell r="F254" t="str">
            <v>Decimal</v>
          </cell>
          <cell r="G254">
            <v>1.65485E-3</v>
          </cell>
          <cell r="H254">
            <v>2.3822399999999999E-3</v>
          </cell>
          <cell r="I254">
            <v>1.377423E-2</v>
          </cell>
          <cell r="J254">
            <v>1.1017620000000001E-2</v>
          </cell>
          <cell r="K254">
            <v>9.6571199999999999E-3</v>
          </cell>
          <cell r="L254">
            <v>8.1213699999999993E-3</v>
          </cell>
          <cell r="M254">
            <v>7.11877E-3</v>
          </cell>
          <cell r="N254">
            <v>6.4943700000000002E-3</v>
          </cell>
          <cell r="O254">
            <v>4.9548400000000003E-3</v>
          </cell>
          <cell r="P254">
            <v>4.9639999999999997E-3</v>
          </cell>
        </row>
        <row r="255">
          <cell r="A255" t="str">
            <v>CR.USD.CORP.NONFINANCE.AA.SPRD.SIMPLE#1M</v>
          </cell>
          <cell r="B255" t="str">
            <v>UNITED STATES CORP NONFINANCE AA 1M SIMPLE SPREAD OVER GOVT</v>
          </cell>
          <cell r="C255" t="str">
            <v>Credit Spread Risk</v>
          </cell>
          <cell r="D255">
            <v>1</v>
          </cell>
          <cell r="E255" t="str">
            <v>N/A</v>
          </cell>
          <cell r="F255" t="str">
            <v>Decimal</v>
          </cell>
          <cell r="G255">
            <v>1.5045900000000001E-3</v>
          </cell>
          <cell r="H255">
            <v>2.0402699999999998E-3</v>
          </cell>
          <cell r="I255">
            <v>1.3892349999999999E-2</v>
          </cell>
          <cell r="J255">
            <v>1.1445240000000001E-2</v>
          </cell>
          <cell r="K255">
            <v>1.195067E-2</v>
          </cell>
          <cell r="L255">
            <v>9.5868499999999992E-3</v>
          </cell>
          <cell r="M255">
            <v>6.91459E-3</v>
          </cell>
          <cell r="N255">
            <v>4.65986E-3</v>
          </cell>
          <cell r="O255">
            <v>3.78554E-3</v>
          </cell>
          <cell r="P255">
            <v>4.09859E-3</v>
          </cell>
        </row>
        <row r="256">
          <cell r="A256" t="str">
            <v>CR.USD.CORP.NONFINANCE.AA.SPRD.SIMPLE#3M</v>
          </cell>
          <cell r="B256" t="str">
            <v>UNITED STATES CORP NONFINANCE AA 3M SIMPLE SPREAD OVER GOVT</v>
          </cell>
          <cell r="C256" t="str">
            <v>Credit Spread Risk</v>
          </cell>
          <cell r="D256">
            <v>1</v>
          </cell>
          <cell r="E256" t="str">
            <v>N/A</v>
          </cell>
          <cell r="F256" t="str">
            <v>Decimal</v>
          </cell>
          <cell r="G256">
            <v>1.4529499999999999E-3</v>
          </cell>
          <cell r="H256">
            <v>2.0716200000000001E-3</v>
          </cell>
          <cell r="I256">
            <v>1.3902339999999999E-2</v>
          </cell>
          <cell r="J256">
            <v>1.1063419999999999E-2</v>
          </cell>
          <cell r="K256">
            <v>1.156197E-2</v>
          </cell>
          <cell r="L256">
            <v>9.0180399999999997E-3</v>
          </cell>
          <cell r="M256">
            <v>6.5507400000000002E-3</v>
          </cell>
          <cell r="N256">
            <v>4.3819699999999998E-3</v>
          </cell>
          <cell r="O256">
            <v>3.8914000000000002E-3</v>
          </cell>
          <cell r="P256">
            <v>4.0167099999999997E-3</v>
          </cell>
        </row>
        <row r="257">
          <cell r="A257" t="str">
            <v>CR.USD.CORP.NONFINANCE.AA.SPRD.SIMPLE#6M</v>
          </cell>
          <cell r="B257" t="str">
            <v>UNITED STATES CORP NONFINANCE AA 6M SIMPLE SPREAD OVER GOVT</v>
          </cell>
          <cell r="C257" t="str">
            <v>Credit Spread Risk</v>
          </cell>
          <cell r="D257">
            <v>1</v>
          </cell>
          <cell r="E257" t="str">
            <v>N/A</v>
          </cell>
          <cell r="F257" t="str">
            <v>Decimal</v>
          </cell>
          <cell r="G257">
            <v>1.5669600000000001E-3</v>
          </cell>
          <cell r="H257">
            <v>2.2570300000000001E-3</v>
          </cell>
          <cell r="I257">
            <v>1.361148E-2</v>
          </cell>
          <cell r="J257">
            <v>1.171354E-2</v>
          </cell>
          <cell r="K257">
            <v>1.089887E-2</v>
          </cell>
          <cell r="L257">
            <v>8.3323700000000004E-3</v>
          </cell>
          <cell r="M257">
            <v>6.1155799999999998E-3</v>
          </cell>
          <cell r="N257">
            <v>5.5012200000000002E-3</v>
          </cell>
          <cell r="O257">
            <v>4.1005099999999999E-3</v>
          </cell>
          <cell r="P257">
            <v>4.4752799999999999E-3</v>
          </cell>
        </row>
        <row r="258">
          <cell r="A258" t="str">
            <v>CR.USD.CORP.NONFINANCE.AAA.SPRD.PAR#10Y</v>
          </cell>
          <cell r="B258" t="str">
            <v>UNITED STATES CORP NONFINANCE AAA 10Y PAR SPREAD OVER GOVT</v>
          </cell>
          <cell r="C258" t="str">
            <v>Credit Spread Risk</v>
          </cell>
          <cell r="D258">
            <v>1</v>
          </cell>
          <cell r="E258" t="str">
            <v>N/A</v>
          </cell>
          <cell r="F258" t="str">
            <v>Decimal</v>
          </cell>
          <cell r="G258">
            <v>4.53383E-3</v>
          </cell>
          <cell r="H258">
            <v>4.7428899999999996E-3</v>
          </cell>
          <cell r="I258">
            <v>1.551218E-2</v>
          </cell>
          <cell r="J258">
            <v>1.3972699999999999E-2</v>
          </cell>
          <cell r="K258">
            <v>1.36913E-2</v>
          </cell>
          <cell r="L258">
            <v>1.289497E-2</v>
          </cell>
          <cell r="M258">
            <v>1.217555E-2</v>
          </cell>
          <cell r="N258">
            <v>1.128271E-2</v>
          </cell>
          <cell r="O258">
            <v>9.0128399999999994E-3</v>
          </cell>
          <cell r="P258">
            <v>8.9613999999999996E-3</v>
          </cell>
        </row>
        <row r="259">
          <cell r="A259" t="str">
            <v>CR.USD.CORP.NONFINANCE.AAA.SPRD.PAR#15Y</v>
          </cell>
          <cell r="B259" t="str">
            <v>UNITED STATES CORP NONFINANCE AAA 15Y PAR SPREAD OVER GOVT</v>
          </cell>
          <cell r="C259" t="str">
            <v>Credit Spread Risk</v>
          </cell>
          <cell r="D259">
            <v>1</v>
          </cell>
          <cell r="E259" t="str">
            <v>N/A</v>
          </cell>
          <cell r="F259" t="str">
            <v>Decimal</v>
          </cell>
          <cell r="G259">
            <v>6.4858700000000004E-3</v>
          </cell>
          <cell r="H259">
            <v>6.6242000000000002E-3</v>
          </cell>
          <cell r="I259">
            <v>1.6733830000000002E-2</v>
          </cell>
          <cell r="J259">
            <v>1.536584E-2</v>
          </cell>
          <cell r="K259">
            <v>1.4723699999999999E-2</v>
          </cell>
          <cell r="L259">
            <v>1.372866E-2</v>
          </cell>
          <cell r="M259">
            <v>1.2796399999999999E-2</v>
          </cell>
          <cell r="N259">
            <v>1.1810910000000001E-2</v>
          </cell>
          <cell r="O259">
            <v>1.009296E-2</v>
          </cell>
          <cell r="P259">
            <v>9.7892499999999993E-3</v>
          </cell>
        </row>
        <row r="260">
          <cell r="A260" t="str">
            <v>CR.USD.CORP.NONFINANCE.AAA.SPRD.PAR#20Y</v>
          </cell>
          <cell r="B260" t="str">
            <v>UNITED STATES CORP NONFINANCE AAA 20Y PAR SPREAD OVER GOVT</v>
          </cell>
          <cell r="C260" t="str">
            <v>Credit Spread Risk</v>
          </cell>
          <cell r="D260">
            <v>1</v>
          </cell>
          <cell r="E260" t="str">
            <v>N/A</v>
          </cell>
          <cell r="F260" t="str">
            <v>Decimal</v>
          </cell>
          <cell r="G260">
            <v>6.9492E-3</v>
          </cell>
          <cell r="H260">
            <v>7.0382400000000003E-3</v>
          </cell>
          <cell r="I260">
            <v>1.66509E-2</v>
          </cell>
          <cell r="J260">
            <v>1.510949E-2</v>
          </cell>
          <cell r="K260">
            <v>1.4244410000000001E-2</v>
          </cell>
          <cell r="L260">
            <v>1.314395E-2</v>
          </cell>
          <cell r="M260">
            <v>1.2131869999999999E-2</v>
          </cell>
          <cell r="N260">
            <v>1.112958E-2</v>
          </cell>
          <cell r="O260">
            <v>9.6209799999999995E-3</v>
          </cell>
          <cell r="P260">
            <v>9.2944099999999995E-3</v>
          </cell>
        </row>
        <row r="261">
          <cell r="A261" t="str">
            <v>CR.USD.CORP.NONFINANCE.AAA.SPRD.PAR#2Y</v>
          </cell>
          <cell r="B261" t="str">
            <v>UNITED STATES CORP NONFINANCE AAA 2Y PAR SPREAD OVER GOVT</v>
          </cell>
          <cell r="C261" t="str">
            <v>Credit Spread Risk</v>
          </cell>
          <cell r="D261">
            <v>1</v>
          </cell>
          <cell r="E261" t="str">
            <v>N/A</v>
          </cell>
          <cell r="F261" t="str">
            <v>Decimal</v>
          </cell>
          <cell r="G261">
            <v>1.2812399999999999E-3</v>
          </cell>
          <cell r="H261">
            <v>1.59121E-3</v>
          </cell>
          <cell r="I261">
            <v>1.263598E-2</v>
          </cell>
          <cell r="J261">
            <v>1.056849E-2</v>
          </cell>
          <cell r="K261">
            <v>1.0090129999999999E-2</v>
          </cell>
          <cell r="L261">
            <v>8.6096499999999999E-3</v>
          </cell>
          <cell r="M261">
            <v>7.4143999999999998E-3</v>
          </cell>
          <cell r="N261">
            <v>6.2856800000000001E-3</v>
          </cell>
          <cell r="O261">
            <v>3.9681100000000004E-3</v>
          </cell>
          <cell r="P261">
            <v>4.1238100000000003E-3</v>
          </cell>
        </row>
        <row r="262">
          <cell r="A262" t="str">
            <v>CR.USD.CORP.NONFINANCE.AAA.SPRD.PAR#30Y</v>
          </cell>
          <cell r="B262" t="str">
            <v>UNITED STATES CORP NONFINANCE AAA 30Y PAR SPREAD OVER GOVT</v>
          </cell>
          <cell r="C262" t="str">
            <v>Credit Spread Risk</v>
          </cell>
          <cell r="D262">
            <v>1</v>
          </cell>
          <cell r="E262" t="str">
            <v>N/A</v>
          </cell>
          <cell r="F262" t="str">
            <v>Decimal</v>
          </cell>
          <cell r="G262">
            <v>7.7865699999999996E-3</v>
          </cell>
          <cell r="H262">
            <v>7.9028799999999993E-3</v>
          </cell>
          <cell r="I262">
            <v>1.752339E-2</v>
          </cell>
          <cell r="J262">
            <v>1.6299500000000001E-2</v>
          </cell>
          <cell r="K262">
            <v>1.5789649999999999E-2</v>
          </cell>
          <cell r="L262">
            <v>1.4979559999999999E-2</v>
          </cell>
          <cell r="M262">
            <v>1.421618E-2</v>
          </cell>
          <cell r="N262">
            <v>1.339665E-2</v>
          </cell>
          <cell r="O262">
            <v>1.1724E-2</v>
          </cell>
          <cell r="P262">
            <v>1.135968E-2</v>
          </cell>
        </row>
        <row r="263">
          <cell r="A263" t="str">
            <v>CR.USD.CORP.NONFINANCE.AAA.SPRD.PAR#3Y</v>
          </cell>
          <cell r="B263" t="str">
            <v>UNITED STATES CORP NONFINANCE AAA 3Y PAR SPREAD OVER GOVT</v>
          </cell>
          <cell r="C263" t="str">
            <v>Credit Spread Risk</v>
          </cell>
          <cell r="D263">
            <v>1</v>
          </cell>
          <cell r="E263" t="str">
            <v>N/A</v>
          </cell>
          <cell r="F263" t="str">
            <v>Decimal</v>
          </cell>
          <cell r="G263">
            <v>1.4055199999999999E-3</v>
          </cell>
          <cell r="H263">
            <v>1.7103999999999999E-3</v>
          </cell>
          <cell r="I263">
            <v>1.2734830000000001E-2</v>
          </cell>
          <cell r="J263">
            <v>1.0678480000000001E-2</v>
          </cell>
          <cell r="K263">
            <v>1.013944E-2</v>
          </cell>
          <cell r="L263">
            <v>9.0367799999999995E-3</v>
          </cell>
          <cell r="M263">
            <v>8.1738899999999996E-3</v>
          </cell>
          <cell r="N263">
            <v>7.3103300000000003E-3</v>
          </cell>
          <cell r="O263">
            <v>5.20609E-3</v>
          </cell>
          <cell r="P263">
            <v>5.1164000000000001E-3</v>
          </cell>
        </row>
        <row r="264">
          <cell r="A264" t="str">
            <v>CR.USD.CORP.NONFINANCE.AAA.SPRD.PAR#5Y</v>
          </cell>
          <cell r="B264" t="str">
            <v>UNITED STATES CORP NONFINANCE AAA 5Y PAR SPREAD OVER GOVT</v>
          </cell>
          <cell r="C264" t="str">
            <v>Credit Spread Risk</v>
          </cell>
          <cell r="D264">
            <v>1</v>
          </cell>
          <cell r="E264" t="str">
            <v>N/A</v>
          </cell>
          <cell r="F264" t="str">
            <v>Decimal</v>
          </cell>
          <cell r="G264">
            <v>2.1584799999999999E-3</v>
          </cell>
          <cell r="H264">
            <v>2.58785E-3</v>
          </cell>
          <cell r="I264">
            <v>1.36623E-2</v>
          </cell>
          <cell r="J264">
            <v>1.17439E-2</v>
          </cell>
          <cell r="K264">
            <v>1.1283049999999999E-2</v>
          </cell>
          <cell r="L264">
            <v>1.027925E-2</v>
          </cell>
          <cell r="M264">
            <v>9.4559899999999992E-3</v>
          </cell>
          <cell r="N264">
            <v>8.5595900000000006E-3</v>
          </cell>
          <cell r="O264">
            <v>6.3658300000000003E-3</v>
          </cell>
          <cell r="P264">
            <v>6.2611100000000003E-3</v>
          </cell>
        </row>
        <row r="265">
          <cell r="A265" t="str">
            <v>CR.USD.CORP.NONFINANCE.AAA.SPRD.PAR#7Y</v>
          </cell>
          <cell r="B265" t="str">
            <v>UNITED STATES CORP NONFINANCE AAA 7Y PAR SPREAD OVER GOVT</v>
          </cell>
          <cell r="C265" t="str">
            <v>Credit Spread Risk</v>
          </cell>
          <cell r="D265">
            <v>1</v>
          </cell>
          <cell r="E265" t="str">
            <v>N/A</v>
          </cell>
          <cell r="F265" t="str">
            <v>Decimal</v>
          </cell>
          <cell r="G265">
            <v>3.11174E-3</v>
          </cell>
          <cell r="H265">
            <v>3.4077399999999998E-3</v>
          </cell>
          <cell r="I265">
            <v>1.432162E-2</v>
          </cell>
          <cell r="J265">
            <v>1.2545840000000001E-2</v>
          </cell>
          <cell r="K265">
            <v>1.214958E-2</v>
          </cell>
          <cell r="L265">
            <v>1.122824E-2</v>
          </cell>
          <cell r="M265">
            <v>1.0436819999999999E-2</v>
          </cell>
          <cell r="N265">
            <v>9.5108999999999992E-3</v>
          </cell>
          <cell r="O265">
            <v>7.2305199999999998E-3</v>
          </cell>
          <cell r="P265">
            <v>7.3326600000000004E-3</v>
          </cell>
        </row>
        <row r="266">
          <cell r="A266" t="str">
            <v>CR.USD.CORP.NONFINANCE.AAA.SPRD.SIMPLE#12M</v>
          </cell>
          <cell r="B266" t="str">
            <v>UNITED STATES CORP NONFINANCE AAA 12M SIMPLE SPREAD OVER GOVT</v>
          </cell>
          <cell r="C266" t="str">
            <v>Credit Spread Risk</v>
          </cell>
          <cell r="D266">
            <v>1</v>
          </cell>
          <cell r="E266" t="str">
            <v>N/A</v>
          </cell>
          <cell r="F266" t="str">
            <v>Decimal</v>
          </cell>
          <cell r="G266">
            <v>1.65485E-3</v>
          </cell>
          <cell r="H266">
            <v>2.3822399999999999E-3</v>
          </cell>
          <cell r="I266">
            <v>1.327156E-2</v>
          </cell>
          <cell r="J266">
            <v>1.0760789999999999E-2</v>
          </cell>
          <cell r="K266">
            <v>9.5435999999999993E-3</v>
          </cell>
          <cell r="L266">
            <v>7.8905399999999997E-3</v>
          </cell>
          <cell r="M266">
            <v>6.6900900000000001E-3</v>
          </cell>
          <cell r="N266">
            <v>5.80943E-3</v>
          </cell>
          <cell r="O266">
            <v>4.0068899999999999E-3</v>
          </cell>
          <cell r="P266">
            <v>3.6996500000000001E-3</v>
          </cell>
        </row>
        <row r="267">
          <cell r="A267" t="str">
            <v>CR.USD.CORP.NONFINANCE.AAA.SPRD.SIMPLE#1M</v>
          </cell>
          <cell r="B267" t="str">
            <v>UNITED STATES CORP NONFINANCE AAA 1M SIMPLE SPREAD OVER GOVT</v>
          </cell>
          <cell r="C267" t="str">
            <v>Credit Spread Risk</v>
          </cell>
          <cell r="D267">
            <v>1</v>
          </cell>
          <cell r="E267" t="str">
            <v>N/A</v>
          </cell>
          <cell r="F267" t="str">
            <v>Decimal</v>
          </cell>
          <cell r="G267">
            <v>1.5045900000000001E-3</v>
          </cell>
          <cell r="H267">
            <v>2.0402699999999998E-3</v>
          </cell>
          <cell r="I267">
            <v>1.3389649999999999E-2</v>
          </cell>
          <cell r="J267">
            <v>1.118826E-2</v>
          </cell>
          <cell r="K267">
            <v>1.183699E-2</v>
          </cell>
          <cell r="L267">
            <v>9.5027400000000008E-3</v>
          </cell>
          <cell r="M267">
            <v>6.8088300000000001E-3</v>
          </cell>
          <cell r="N267">
            <v>4.5075599999999999E-3</v>
          </cell>
          <cell r="O267">
            <v>3.0734999999999998E-3</v>
          </cell>
          <cell r="P267">
            <v>3.3236799999999999E-3</v>
          </cell>
        </row>
        <row r="268">
          <cell r="A268" t="str">
            <v>CR.USD.CORP.NONFINANCE.AAA.SPRD.SIMPLE#3M</v>
          </cell>
          <cell r="B268" t="str">
            <v>UNITED STATES CORP NONFINANCE AAA 3M SIMPLE SPREAD OVER GOVT</v>
          </cell>
          <cell r="C268" t="str">
            <v>Credit Spread Risk</v>
          </cell>
          <cell r="D268">
            <v>1</v>
          </cell>
          <cell r="E268" t="str">
            <v>N/A</v>
          </cell>
          <cell r="F268" t="str">
            <v>Decimal</v>
          </cell>
          <cell r="G268">
            <v>1.4529499999999999E-3</v>
          </cell>
          <cell r="H268">
            <v>2.0716200000000001E-3</v>
          </cell>
          <cell r="I268">
            <v>1.3399629999999999E-2</v>
          </cell>
          <cell r="J268">
            <v>1.080654E-2</v>
          </cell>
          <cell r="K268">
            <v>1.14483E-2</v>
          </cell>
          <cell r="L268">
            <v>8.9339799999999994E-3</v>
          </cell>
          <cell r="M268">
            <v>6.4449900000000003E-3</v>
          </cell>
          <cell r="N268">
            <v>4.2297200000000002E-3</v>
          </cell>
          <cell r="O268">
            <v>3.13634E-3</v>
          </cell>
          <cell r="P268">
            <v>3.2005599999999999E-3</v>
          </cell>
        </row>
        <row r="269">
          <cell r="A269" t="str">
            <v>CR.USD.CORP.NONFINANCE.AAA.SPRD.SIMPLE#6M</v>
          </cell>
          <cell r="B269" t="str">
            <v>UNITED STATES CORP NONFINANCE AAA 6M SIMPLE SPREAD OVER GOVT</v>
          </cell>
          <cell r="C269" t="str">
            <v>Credit Spread Risk</v>
          </cell>
          <cell r="D269">
            <v>1</v>
          </cell>
          <cell r="E269" t="str">
            <v>N/A</v>
          </cell>
          <cell r="F269" t="str">
            <v>Decimal</v>
          </cell>
          <cell r="G269">
            <v>1.5669600000000001E-3</v>
          </cell>
          <cell r="H269">
            <v>2.2570300000000001E-3</v>
          </cell>
          <cell r="I269">
            <v>1.310885E-2</v>
          </cell>
          <cell r="J269">
            <v>1.1456630000000001E-2</v>
          </cell>
          <cell r="K269">
            <v>1.078528E-2</v>
          </cell>
          <cell r="L269">
            <v>8.2483399999999998E-3</v>
          </cell>
          <cell r="M269">
            <v>6.0098699999999996E-3</v>
          </cell>
          <cell r="N269">
            <v>5.0568899999999996E-3</v>
          </cell>
          <cell r="O269">
            <v>3.2818600000000002E-3</v>
          </cell>
          <cell r="P269">
            <v>3.5946900000000002E-3</v>
          </cell>
        </row>
        <row r="270">
          <cell r="A270" t="str">
            <v>CR.USD.CORP.NONFINANCE.B.SPRD.PAR#10Y</v>
          </cell>
          <cell r="B270" t="str">
            <v>UNITED STATES CORP NONFINANCE B 10Y PAR SPREAD OVER GOVT</v>
          </cell>
          <cell r="C270" t="str">
            <v>Credit Spread Risk</v>
          </cell>
          <cell r="D270">
            <v>1</v>
          </cell>
          <cell r="E270" t="str">
            <v>N/A</v>
          </cell>
          <cell r="F270" t="str">
            <v>Decimal</v>
          </cell>
          <cell r="G270">
            <v>4.7492270000000003E-2</v>
          </cell>
          <cell r="H270">
            <v>4.7307509999999997E-2</v>
          </cell>
          <cell r="I270">
            <v>9.5257709999999995E-2</v>
          </cell>
          <cell r="J270">
            <v>9.0136510000000003E-2</v>
          </cell>
          <cell r="K270">
            <v>8.9257740000000002E-2</v>
          </cell>
          <cell r="L270">
            <v>8.7870569999999995E-2</v>
          </cell>
          <cell r="M270">
            <v>8.6864230000000001E-2</v>
          </cell>
          <cell r="N270">
            <v>8.5142990000000002E-2</v>
          </cell>
          <cell r="O270">
            <v>7.7504379999999998E-2</v>
          </cell>
          <cell r="P270">
            <v>7.5206439999999999E-2</v>
          </cell>
        </row>
        <row r="271">
          <cell r="A271" t="str">
            <v>CR.USD.CORP.NONFINANCE.B.SPRD.PAR#15Y</v>
          </cell>
          <cell r="B271" t="str">
            <v>UNITED STATES CORP NONFINANCE B 15Y PAR SPREAD OVER GOVT</v>
          </cell>
          <cell r="C271" t="str">
            <v>Credit Spread Risk</v>
          </cell>
          <cell r="D271">
            <v>1</v>
          </cell>
          <cell r="E271" t="str">
            <v>N/A</v>
          </cell>
          <cell r="F271" t="str">
            <v>Decimal</v>
          </cell>
          <cell r="G271">
            <v>4.7270060000000003E-2</v>
          </cell>
          <cell r="H271">
            <v>4.7031150000000001E-2</v>
          </cell>
          <cell r="I271">
            <v>9.2614749999999996E-2</v>
          </cell>
          <cell r="J271">
            <v>8.7616669999999994E-2</v>
          </cell>
          <cell r="K271">
            <v>8.6688710000000002E-2</v>
          </cell>
          <cell r="L271">
            <v>8.5226060000000006E-2</v>
          </cell>
          <cell r="M271">
            <v>8.4057640000000003E-2</v>
          </cell>
          <cell r="N271">
            <v>8.2193089999999996E-2</v>
          </cell>
          <cell r="O271">
            <v>7.4768440000000005E-2</v>
          </cell>
          <cell r="P271">
            <v>7.25248E-2</v>
          </cell>
        </row>
        <row r="272">
          <cell r="A272" t="str">
            <v>CR.USD.CORP.NONFINANCE.B.SPRD.PAR#20Y</v>
          </cell>
          <cell r="B272" t="str">
            <v>UNITED STATES CORP NONFINANCE B 20Y PAR SPREAD OVER GOVT</v>
          </cell>
          <cell r="C272" t="str">
            <v>Credit Spread Risk</v>
          </cell>
          <cell r="D272">
            <v>1</v>
          </cell>
          <cell r="E272" t="str">
            <v>N/A</v>
          </cell>
          <cell r="F272" t="str">
            <v>Decimal</v>
          </cell>
          <cell r="G272">
            <v>4.6431010000000002E-2</v>
          </cell>
          <cell r="H272">
            <v>4.6118119999999999E-2</v>
          </cell>
          <cell r="I272">
            <v>9.1078590000000001E-2</v>
          </cell>
          <cell r="J272">
            <v>8.6064199999999993E-2</v>
          </cell>
          <cell r="K272">
            <v>8.5157479999999994E-2</v>
          </cell>
          <cell r="L272">
            <v>8.3736720000000001E-2</v>
          </cell>
          <cell r="M272">
            <v>8.2565470000000002E-2</v>
          </cell>
          <cell r="N272">
            <v>8.0707050000000002E-2</v>
          </cell>
          <cell r="O272">
            <v>7.329608E-2</v>
          </cell>
          <cell r="P272">
            <v>7.1033719999999995E-2</v>
          </cell>
        </row>
        <row r="273">
          <cell r="A273" t="str">
            <v>CR.USD.CORP.NONFINANCE.B.SPRD.PAR#2Y</v>
          </cell>
          <cell r="B273" t="str">
            <v>UNITED STATES CORP NONFINANCE B 2Y PAR SPREAD OVER GOVT</v>
          </cell>
          <cell r="C273" t="str">
            <v>Credit Spread Risk</v>
          </cell>
          <cell r="D273">
            <v>1</v>
          </cell>
          <cell r="E273" t="str">
            <v>N/A</v>
          </cell>
          <cell r="F273" t="str">
            <v>Decimal</v>
          </cell>
          <cell r="G273">
            <v>4.8782560000000003E-2</v>
          </cell>
          <cell r="H273">
            <v>4.8592070000000001E-2</v>
          </cell>
          <cell r="I273">
            <v>0.10032252</v>
          </cell>
          <cell r="J273">
            <v>9.4747159999999997E-2</v>
          </cell>
          <cell r="K273">
            <v>9.3270699999999998E-2</v>
          </cell>
          <cell r="L273">
            <v>9.1041540000000004E-2</v>
          </cell>
          <cell r="M273">
            <v>8.9557529999999996E-2</v>
          </cell>
          <cell r="N273">
            <v>8.770646E-2</v>
          </cell>
          <cell r="O273">
            <v>8.0634739999999996E-2</v>
          </cell>
          <cell r="P273">
            <v>7.8250639999999996E-2</v>
          </cell>
        </row>
        <row r="274">
          <cell r="A274" t="str">
            <v>CR.USD.CORP.NONFINANCE.B.SPRD.PAR#30Y</v>
          </cell>
          <cell r="B274" t="str">
            <v>UNITED STATES CORP NONFINANCE B 30Y PAR SPREAD OVER GOVT</v>
          </cell>
          <cell r="C274" t="str">
            <v>Credit Spread Risk</v>
          </cell>
          <cell r="D274">
            <v>1</v>
          </cell>
          <cell r="E274" t="str">
            <v>N/A</v>
          </cell>
          <cell r="F274" t="str">
            <v>Decimal</v>
          </cell>
          <cell r="G274">
            <v>4.5914120000000003E-2</v>
          </cell>
          <cell r="H274">
            <v>4.5552000000000002E-2</v>
          </cell>
          <cell r="I274">
            <v>8.9941140000000003E-2</v>
          </cell>
          <cell r="J274">
            <v>8.5022219999999996E-2</v>
          </cell>
          <cell r="K274">
            <v>8.427453E-2</v>
          </cell>
          <cell r="L274">
            <v>8.3024029999999999E-2</v>
          </cell>
          <cell r="M274">
            <v>8.1967269999999995E-2</v>
          </cell>
          <cell r="N274">
            <v>8.0227670000000001E-2</v>
          </cell>
          <cell r="O274">
            <v>7.2819369999999994E-2</v>
          </cell>
          <cell r="P274">
            <v>7.0518079999999997E-2</v>
          </cell>
        </row>
        <row r="275">
          <cell r="A275" t="str">
            <v>CR.USD.CORP.NONFINANCE.B.SPRD.PAR#3Y</v>
          </cell>
          <cell r="B275" t="str">
            <v>UNITED STATES CORP NONFINANCE B 3Y PAR SPREAD OVER GOVT</v>
          </cell>
          <cell r="C275" t="str">
            <v>Credit Spread Risk</v>
          </cell>
          <cell r="D275">
            <v>1</v>
          </cell>
          <cell r="E275" t="str">
            <v>N/A</v>
          </cell>
          <cell r="F275" t="str">
            <v>Decimal</v>
          </cell>
          <cell r="G275">
            <v>4.8539760000000001E-2</v>
          </cell>
          <cell r="H275">
            <v>4.8254709999999999E-2</v>
          </cell>
          <cell r="I275">
            <v>9.9799449999999998E-2</v>
          </cell>
          <cell r="J275">
            <v>9.4201859999999998E-2</v>
          </cell>
          <cell r="K275">
            <v>9.2604350000000002E-2</v>
          </cell>
          <cell r="L275">
            <v>9.0735179999999999E-2</v>
          </cell>
          <cell r="M275">
            <v>8.9583670000000004E-2</v>
          </cell>
          <cell r="N275">
            <v>8.8005459999999994E-2</v>
          </cell>
          <cell r="O275">
            <v>8.1156329999999999E-2</v>
          </cell>
          <cell r="P275">
            <v>7.8517169999999997E-2</v>
          </cell>
        </row>
        <row r="276">
          <cell r="A276" t="str">
            <v>CR.USD.CORP.NONFINANCE.B.SPRD.PAR#5Y</v>
          </cell>
          <cell r="B276" t="str">
            <v>UNITED STATES CORP NONFINANCE B 5Y PAR SPREAD OVER GOVT</v>
          </cell>
          <cell r="C276" t="str">
            <v>Credit Spread Risk</v>
          </cell>
          <cell r="D276">
            <v>1</v>
          </cell>
          <cell r="E276" t="str">
            <v>N/A</v>
          </cell>
          <cell r="F276" t="str">
            <v>Decimal</v>
          </cell>
          <cell r="G276">
            <v>4.808436E-2</v>
          </cell>
          <cell r="H276">
            <v>4.7835049999999997E-2</v>
          </cell>
          <cell r="I276">
            <v>9.9147089999999993E-2</v>
          </cell>
          <cell r="J276">
            <v>9.3666840000000001E-2</v>
          </cell>
          <cell r="K276">
            <v>9.2150869999999996E-2</v>
          </cell>
          <cell r="L276">
            <v>9.0412119999999999E-2</v>
          </cell>
          <cell r="M276">
            <v>8.9300180000000007E-2</v>
          </cell>
          <cell r="N276">
            <v>8.7697830000000004E-2</v>
          </cell>
          <cell r="O276">
            <v>8.0718700000000004E-2</v>
          </cell>
          <cell r="P276">
            <v>7.8036560000000005E-2</v>
          </cell>
        </row>
        <row r="277">
          <cell r="A277" t="str">
            <v>CR.USD.CORP.NONFINANCE.B.SPRD.PAR#7Y</v>
          </cell>
          <cell r="B277" t="str">
            <v>UNITED STATES CORP NONFINANCE B 7Y PAR SPREAD OVER GOVT</v>
          </cell>
          <cell r="C277" t="str">
            <v>Credit Spread Risk</v>
          </cell>
          <cell r="D277">
            <v>1</v>
          </cell>
          <cell r="E277" t="str">
            <v>N/A</v>
          </cell>
          <cell r="F277" t="str">
            <v>Decimal</v>
          </cell>
          <cell r="G277">
            <v>4.7709870000000001E-2</v>
          </cell>
          <cell r="H277">
            <v>4.7433570000000001E-2</v>
          </cell>
          <cell r="I277">
            <v>9.7248920000000003E-2</v>
          </cell>
          <cell r="J277">
            <v>9.192939E-2</v>
          </cell>
          <cell r="K277">
            <v>9.0697079999999999E-2</v>
          </cell>
          <cell r="L277">
            <v>8.9131160000000001E-2</v>
          </cell>
          <cell r="M277">
            <v>8.8077119999999995E-2</v>
          </cell>
          <cell r="N277">
            <v>8.6421929999999994E-2</v>
          </cell>
          <cell r="O277">
            <v>7.9116759999999994E-2</v>
          </cell>
          <cell r="P277">
            <v>7.6730419999999994E-2</v>
          </cell>
        </row>
        <row r="278">
          <cell r="A278" t="str">
            <v>CR.USD.CORP.NONFINANCE.B.SPRD.SIMPLE#12M</v>
          </cell>
          <cell r="B278" t="str">
            <v>UNITED STATES CORP NONFINANCE B 12M SIMPLE SPREAD OVER GOVT</v>
          </cell>
          <cell r="C278" t="str">
            <v>Credit Spread Risk</v>
          </cell>
          <cell r="D278">
            <v>1</v>
          </cell>
          <cell r="E278" t="str">
            <v>N/A</v>
          </cell>
          <cell r="F278" t="str">
            <v>Decimal</v>
          </cell>
          <cell r="G278">
            <v>4.8393190000000003E-2</v>
          </cell>
          <cell r="H278">
            <v>4.8699109999999997E-2</v>
          </cell>
          <cell r="I278">
            <v>9.9747929999999999E-2</v>
          </cell>
          <cell r="J278">
            <v>9.3896789999999994E-2</v>
          </cell>
          <cell r="K278">
            <v>9.1855060000000002E-2</v>
          </cell>
          <cell r="L278">
            <v>8.9548909999999995E-2</v>
          </cell>
          <cell r="M278">
            <v>8.8133970000000006E-2</v>
          </cell>
          <cell r="N278">
            <v>8.6606699999999995E-2</v>
          </cell>
          <cell r="O278">
            <v>8.0186939999999998E-2</v>
          </cell>
          <cell r="P278">
            <v>7.7348650000000005E-2</v>
          </cell>
        </row>
        <row r="279">
          <cell r="A279" t="str">
            <v>CR.USD.CORP.NONFINANCE.B.SPRD.SIMPLE#1M</v>
          </cell>
          <cell r="B279" t="str">
            <v>UNITED STATES CORP NONFINANCE B 1M SIMPLE SPREAD OVER GOVT</v>
          </cell>
          <cell r="C279" t="str">
            <v>Credit Spread Risk</v>
          </cell>
          <cell r="D279">
            <v>1</v>
          </cell>
          <cell r="E279" t="str">
            <v>N/A</v>
          </cell>
          <cell r="F279" t="str">
            <v>Decimal</v>
          </cell>
          <cell r="G279">
            <v>4.8244059999999998E-2</v>
          </cell>
          <cell r="H279">
            <v>4.8353849999999997E-2</v>
          </cell>
          <cell r="I279">
            <v>9.9830279999999993E-2</v>
          </cell>
          <cell r="J279">
            <v>9.4273670000000004E-2</v>
          </cell>
          <cell r="K279">
            <v>9.4208059999999996E-2</v>
          </cell>
          <cell r="L279">
            <v>9.1407740000000001E-2</v>
          </cell>
          <cell r="M279">
            <v>8.8695040000000003E-2</v>
          </cell>
          <cell r="N279">
            <v>8.5985450000000005E-2</v>
          </cell>
          <cell r="O279">
            <v>7.9585169999999997E-2</v>
          </cell>
          <cell r="P279">
            <v>7.7491840000000006E-2</v>
          </cell>
        </row>
        <row r="280">
          <cell r="A280" t="str">
            <v>CR.USD.CORP.NONFINANCE.B.SPRD.SIMPLE#3M</v>
          </cell>
          <cell r="B280" t="str">
            <v>UNITED STATES CORP NONFINANCE B 3M SIMPLE SPREAD OVER GOVT</v>
          </cell>
          <cell r="C280" t="str">
            <v>Credit Spread Risk</v>
          </cell>
          <cell r="D280">
            <v>1</v>
          </cell>
          <cell r="E280" t="str">
            <v>N/A</v>
          </cell>
          <cell r="F280" t="str">
            <v>Decimal</v>
          </cell>
          <cell r="G280">
            <v>4.819242E-2</v>
          </cell>
          <cell r="H280">
            <v>4.8381710000000001E-2</v>
          </cell>
          <cell r="I280">
            <v>9.9833889999999995E-2</v>
          </cell>
          <cell r="J280">
            <v>9.3856229999999999E-2</v>
          </cell>
          <cell r="K280">
            <v>9.3817319999999996E-2</v>
          </cell>
          <cell r="L280">
            <v>9.0813409999999997E-2</v>
          </cell>
          <cell r="M280">
            <v>8.8329950000000004E-2</v>
          </cell>
          <cell r="N280">
            <v>8.5696069999999999E-2</v>
          </cell>
          <cell r="O280">
            <v>7.9577629999999996E-2</v>
          </cell>
          <cell r="P280">
            <v>7.7268530000000002E-2</v>
          </cell>
        </row>
        <row r="281">
          <cell r="A281" t="str">
            <v>CR.USD.CORP.NONFINANCE.B.SPRD.SIMPLE#6M</v>
          </cell>
          <cell r="B281" t="str">
            <v>UNITED STATES CORP NONFINANCE B 6M SIMPLE SPREAD OVER GOVT</v>
          </cell>
          <cell r="C281" t="str">
            <v>Credit Spread Risk</v>
          </cell>
          <cell r="D281">
            <v>1</v>
          </cell>
          <cell r="E281" t="str">
            <v>N/A</v>
          </cell>
          <cell r="F281" t="str">
            <v>Decimal</v>
          </cell>
          <cell r="G281">
            <v>4.8306149999999999E-2</v>
          </cell>
          <cell r="H281">
            <v>4.8559779999999997E-2</v>
          </cell>
          <cell r="I281">
            <v>9.9520360000000002E-2</v>
          </cell>
          <cell r="J281">
            <v>9.4570429999999997E-2</v>
          </cell>
          <cell r="K281">
            <v>9.3115829999999997E-2</v>
          </cell>
          <cell r="L281">
            <v>9.0107619999999999E-2</v>
          </cell>
          <cell r="M281">
            <v>8.7876940000000001E-2</v>
          </cell>
          <cell r="N281">
            <v>8.6171750000000005E-2</v>
          </cell>
          <cell r="O281">
            <v>7.9633220000000005E-2</v>
          </cell>
          <cell r="P281">
            <v>7.7590790000000007E-2</v>
          </cell>
        </row>
        <row r="282">
          <cell r="A282" t="str">
            <v>CR.USD.CORP.NONFINANCE.BB.SPRD.PAR#10Y</v>
          </cell>
          <cell r="B282" t="str">
            <v>UNITED STATES CORP NONFINANCE BB 10Y PAR SPREAD OVER GOVT</v>
          </cell>
          <cell r="C282" t="str">
            <v>Credit Spread Risk</v>
          </cell>
          <cell r="D282">
            <v>1</v>
          </cell>
          <cell r="E282" t="str">
            <v>N/A</v>
          </cell>
          <cell r="F282" t="str">
            <v>Decimal</v>
          </cell>
          <cell r="G282">
            <v>3.1400150000000002E-2</v>
          </cell>
          <cell r="H282">
            <v>3.1277779999999998E-2</v>
          </cell>
          <cell r="I282">
            <v>6.3697870000000004E-2</v>
          </cell>
          <cell r="J282">
            <v>6.0245060000000003E-2</v>
          </cell>
          <cell r="K282">
            <v>5.9687829999999997E-2</v>
          </cell>
          <cell r="L282">
            <v>5.8753010000000001E-2</v>
          </cell>
          <cell r="M282">
            <v>5.8078499999999998E-2</v>
          </cell>
          <cell r="N282">
            <v>5.6921289999999999E-2</v>
          </cell>
          <cell r="O282">
            <v>5.1743570000000003E-2</v>
          </cell>
          <cell r="P282">
            <v>5.022049E-2</v>
          </cell>
        </row>
        <row r="283">
          <cell r="A283" t="str">
            <v>CR.USD.CORP.NONFINANCE.BB.SPRD.PAR#15Y</v>
          </cell>
          <cell r="B283" t="str">
            <v>UNITED STATES CORP NONFINANCE BB 15Y PAR SPREAD OVER GOVT</v>
          </cell>
          <cell r="C283" t="str">
            <v>Credit Spread Risk</v>
          </cell>
          <cell r="D283">
            <v>1</v>
          </cell>
          <cell r="E283" t="str">
            <v>N/A</v>
          </cell>
          <cell r="F283" t="str">
            <v>Decimal</v>
          </cell>
          <cell r="G283">
            <v>3.1383550000000003E-2</v>
          </cell>
          <cell r="H283">
            <v>3.1210789999999999E-2</v>
          </cell>
          <cell r="I283">
            <v>6.1780750000000002E-2</v>
          </cell>
          <cell r="J283">
            <v>5.8432530000000003E-2</v>
          </cell>
          <cell r="K283">
            <v>5.7814709999999998E-2</v>
          </cell>
          <cell r="L283">
            <v>5.6803640000000002E-2</v>
          </cell>
          <cell r="M283">
            <v>5.59862E-2</v>
          </cell>
          <cell r="N283">
            <v>5.4703120000000001E-2</v>
          </cell>
          <cell r="O283">
            <v>4.9703280000000002E-2</v>
          </cell>
          <cell r="P283">
            <v>4.8208649999999999E-2</v>
          </cell>
        </row>
        <row r="284">
          <cell r="A284" t="str">
            <v>CR.USD.CORP.NONFINANCE.BB.SPRD.PAR#20Y</v>
          </cell>
          <cell r="B284" t="str">
            <v>UNITED STATES CORP NONFINANCE BB 20Y PAR SPREAD OVER GOVT</v>
          </cell>
          <cell r="C284" t="str">
            <v>Credit Spread Risk</v>
          </cell>
          <cell r="D284">
            <v>1</v>
          </cell>
          <cell r="E284" t="str">
            <v>N/A</v>
          </cell>
          <cell r="F284" t="str">
            <v>Decimal</v>
          </cell>
          <cell r="G284">
            <v>3.0677260000000001E-2</v>
          </cell>
          <cell r="H284">
            <v>3.045173E-2</v>
          </cell>
          <cell r="I284">
            <v>6.0583930000000001E-2</v>
          </cell>
          <cell r="J284">
            <v>5.7223110000000001E-2</v>
          </cell>
          <cell r="K284">
            <v>5.6616149999999997E-2</v>
          </cell>
          <cell r="L284">
            <v>5.5634179999999998E-2</v>
          </cell>
          <cell r="M284">
            <v>5.4813559999999997E-2</v>
          </cell>
          <cell r="N284">
            <v>5.353339E-2</v>
          </cell>
          <cell r="O284">
            <v>4.8546880000000001E-2</v>
          </cell>
          <cell r="P284">
            <v>4.7040850000000002E-2</v>
          </cell>
        </row>
        <row r="285">
          <cell r="A285" t="str">
            <v>CR.USD.CORP.NONFINANCE.BB.SPRD.PAR#2Y</v>
          </cell>
          <cell r="B285" t="str">
            <v>UNITED STATES CORP NONFINANCE BB 2Y PAR SPREAD OVER GOVT</v>
          </cell>
          <cell r="C285" t="str">
            <v>Credit Spread Risk</v>
          </cell>
          <cell r="D285">
            <v>1</v>
          </cell>
          <cell r="E285" t="str">
            <v>N/A</v>
          </cell>
          <cell r="F285" t="str">
            <v>Decimal</v>
          </cell>
          <cell r="G285">
            <v>3.2246770000000001E-2</v>
          </cell>
          <cell r="H285">
            <v>3.2085599999999999E-2</v>
          </cell>
          <cell r="I285">
            <v>6.7255499999999996E-2</v>
          </cell>
          <cell r="J285">
            <v>6.3453700000000002E-2</v>
          </cell>
          <cell r="K285">
            <v>6.2494229999999998E-2</v>
          </cell>
          <cell r="L285">
            <v>6.0827409999999998E-2</v>
          </cell>
          <cell r="M285">
            <v>5.9726109999999999E-2</v>
          </cell>
          <cell r="N285">
            <v>5.8455979999999998E-2</v>
          </cell>
          <cell r="O285">
            <v>5.370349E-2</v>
          </cell>
          <cell r="P285">
            <v>5.2125280000000003E-2</v>
          </cell>
        </row>
        <row r="286">
          <cell r="A286" t="str">
            <v>CR.USD.CORP.NONFINANCE.BB.SPRD.PAR#30Y</v>
          </cell>
          <cell r="B286" t="str">
            <v>UNITED STATES CORP NONFINANCE BB 30Y PAR SPREAD OVER GOVT</v>
          </cell>
          <cell r="C286" t="str">
            <v>Credit Spread Risk</v>
          </cell>
          <cell r="D286">
            <v>1</v>
          </cell>
          <cell r="E286" t="str">
            <v>N/A</v>
          </cell>
          <cell r="F286" t="str">
            <v>Decimal</v>
          </cell>
          <cell r="G286">
            <v>3.0340349999999999E-2</v>
          </cell>
          <cell r="H286">
            <v>3.010417E-2</v>
          </cell>
          <cell r="I286">
            <v>5.9819919999999999E-2</v>
          </cell>
          <cell r="J286">
            <v>5.6570950000000002E-2</v>
          </cell>
          <cell r="K286">
            <v>5.610805E-2</v>
          </cell>
          <cell r="L286">
            <v>5.5277350000000003E-2</v>
          </cell>
          <cell r="M286">
            <v>5.4567079999999997E-2</v>
          </cell>
          <cell r="N286">
            <v>5.3398859999999999E-2</v>
          </cell>
          <cell r="O286">
            <v>4.8432290000000003E-2</v>
          </cell>
          <cell r="P286">
            <v>4.6909770000000003E-2</v>
          </cell>
        </row>
        <row r="287">
          <cell r="A287" t="str">
            <v>CR.USD.CORP.NONFINANCE.BB.SPRD.PAR#3Y</v>
          </cell>
          <cell r="B287" t="str">
            <v>UNITED STATES CORP NONFINANCE BB 3Y PAR SPREAD OVER GOVT</v>
          </cell>
          <cell r="C287" t="str">
            <v>Credit Spread Risk</v>
          </cell>
          <cell r="D287">
            <v>1</v>
          </cell>
          <cell r="E287" t="str">
            <v>N/A</v>
          </cell>
          <cell r="F287" t="str">
            <v>Decimal</v>
          </cell>
          <cell r="G287">
            <v>3.2079459999999997E-2</v>
          </cell>
          <cell r="H287">
            <v>3.1824980000000003E-2</v>
          </cell>
          <cell r="I287">
            <v>6.6840070000000001E-2</v>
          </cell>
          <cell r="J287">
            <v>6.2989379999999998E-2</v>
          </cell>
          <cell r="K287">
            <v>6.1891010000000003E-2</v>
          </cell>
          <cell r="L287">
            <v>6.0588900000000001E-2</v>
          </cell>
          <cell r="M287">
            <v>5.9821859999999998E-2</v>
          </cell>
          <cell r="N287">
            <v>5.8827770000000001E-2</v>
          </cell>
          <cell r="O287">
            <v>5.4304390000000001E-2</v>
          </cell>
          <cell r="P287">
            <v>5.2460199999999998E-2</v>
          </cell>
        </row>
        <row r="288">
          <cell r="A288" t="str">
            <v>CR.USD.CORP.NONFINANCE.BB.SPRD.PAR#5Y</v>
          </cell>
          <cell r="B288" t="str">
            <v>UNITED STATES CORP NONFINANCE BB 5Y PAR SPREAD OVER GOVT</v>
          </cell>
          <cell r="C288" t="str">
            <v>Credit Spread Risk</v>
          </cell>
          <cell r="D288">
            <v>1</v>
          </cell>
          <cell r="E288" t="str">
            <v>N/A</v>
          </cell>
          <cell r="F288" t="str">
            <v>Decimal</v>
          </cell>
          <cell r="G288">
            <v>3.1773309999999999E-2</v>
          </cell>
          <cell r="H288">
            <v>3.1562060000000003E-2</v>
          </cell>
          <cell r="I288">
            <v>6.6436510000000004E-2</v>
          </cell>
          <cell r="J288">
            <v>6.2680819999999998E-2</v>
          </cell>
          <cell r="K288">
            <v>6.1639399999999997E-2</v>
          </cell>
          <cell r="L288">
            <v>6.043726E-2</v>
          </cell>
          <cell r="M288">
            <v>5.9692879999999997E-2</v>
          </cell>
          <cell r="N288">
            <v>5.8656710000000001E-2</v>
          </cell>
          <cell r="O288">
            <v>5.400543E-2</v>
          </cell>
          <cell r="P288">
            <v>5.2133829999999999E-2</v>
          </cell>
        </row>
        <row r="289">
          <cell r="A289" t="str">
            <v>CR.USD.CORP.NONFINANCE.BB.SPRD.PAR#7Y</v>
          </cell>
          <cell r="B289" t="str">
            <v>UNITED STATES CORP NONFINANCE BB 7Y PAR SPREAD OVER GOVT</v>
          </cell>
          <cell r="C289" t="str">
            <v>Credit Spread Risk</v>
          </cell>
          <cell r="D289">
            <v>1</v>
          </cell>
          <cell r="E289" t="str">
            <v>N/A</v>
          </cell>
          <cell r="F289" t="str">
            <v>Decimal</v>
          </cell>
          <cell r="G289">
            <v>3.152079E-2</v>
          </cell>
          <cell r="H289">
            <v>3.1290709999999999E-2</v>
          </cell>
          <cell r="I289">
            <v>6.507491E-2</v>
          </cell>
          <cell r="J289">
            <v>6.1440700000000001E-2</v>
          </cell>
          <cell r="K289">
            <v>6.0602509999999998E-2</v>
          </cell>
          <cell r="L289">
            <v>5.9522499999999999E-2</v>
          </cell>
          <cell r="M289">
            <v>5.8808079999999999E-2</v>
          </cell>
          <cell r="N289">
            <v>5.7705199999999998E-2</v>
          </cell>
          <cell r="O289">
            <v>5.277921E-2</v>
          </cell>
          <cell r="P289">
            <v>5.1198019999999997E-2</v>
          </cell>
        </row>
        <row r="290">
          <cell r="A290" t="str">
            <v>CR.USD.CORP.NONFINANCE.BB.SPRD.SIMPLE#12M</v>
          </cell>
          <cell r="B290" t="str">
            <v>UNITED STATES CORP NONFINANCE BB 12M SIMPLE SPREAD OVER GOVT</v>
          </cell>
          <cell r="C290" t="str">
            <v>Credit Spread Risk</v>
          </cell>
          <cell r="D290">
            <v>1</v>
          </cell>
          <cell r="E290" t="str">
            <v>N/A</v>
          </cell>
          <cell r="F290" t="str">
            <v>Decimal</v>
          </cell>
          <cell r="G290">
            <v>3.206879E-2</v>
          </cell>
          <cell r="H290">
            <v>3.2403929999999997E-2</v>
          </cell>
          <cell r="I290">
            <v>6.7150189999999998E-2</v>
          </cell>
          <cell r="J290">
            <v>6.3051419999999997E-2</v>
          </cell>
          <cell r="K290">
            <v>6.1519369999999997E-2</v>
          </cell>
          <cell r="L290">
            <v>5.9769589999999997E-2</v>
          </cell>
          <cell r="M290">
            <v>5.8737699999999997E-2</v>
          </cell>
          <cell r="N290">
            <v>5.7789449999999999E-2</v>
          </cell>
          <cell r="O290">
            <v>5.3659060000000001E-2</v>
          </cell>
          <cell r="P290">
            <v>5.1610570000000001E-2</v>
          </cell>
        </row>
        <row r="291">
          <cell r="A291" t="str">
            <v>CR.USD.CORP.NONFINANCE.BB.SPRD.SIMPLE#1M</v>
          </cell>
          <cell r="B291" t="str">
            <v>UNITED STATES CORP NONFINANCE BB 1M SIMPLE SPREAD OVER GOVT</v>
          </cell>
          <cell r="C291" t="str">
            <v>Credit Spread Risk</v>
          </cell>
          <cell r="D291">
            <v>1</v>
          </cell>
          <cell r="E291" t="str">
            <v>N/A</v>
          </cell>
          <cell r="F291" t="str">
            <v>Decimal</v>
          </cell>
          <cell r="G291">
            <v>3.1919540000000003E-2</v>
          </cell>
          <cell r="H291">
            <v>3.204241E-2</v>
          </cell>
          <cell r="I291">
            <v>6.7202369999999997E-2</v>
          </cell>
          <cell r="J291">
            <v>6.3370599999999999E-2</v>
          </cell>
          <cell r="K291">
            <v>6.3797279999999998E-2</v>
          </cell>
          <cell r="L291">
            <v>6.1549720000000002E-2</v>
          </cell>
          <cell r="M291">
            <v>5.9225960000000001E-2</v>
          </cell>
          <cell r="N291">
            <v>5.7100350000000001E-2</v>
          </cell>
          <cell r="O291">
            <v>5.298862E-2</v>
          </cell>
          <cell r="P291">
            <v>5.1691649999999999E-2</v>
          </cell>
        </row>
        <row r="292">
          <cell r="A292" t="str">
            <v>CR.USD.CORP.NONFINANCE.BB.SPRD.SIMPLE#3M</v>
          </cell>
          <cell r="B292" t="str">
            <v>UNITED STATES CORP NONFINANCE BB 3M SIMPLE SPREAD OVER GOVT</v>
          </cell>
          <cell r="C292" t="str">
            <v>Credit Spread Risk</v>
          </cell>
          <cell r="D292">
            <v>1</v>
          </cell>
          <cell r="E292" t="str">
            <v>N/A</v>
          </cell>
          <cell r="F292" t="str">
            <v>Decimal</v>
          </cell>
          <cell r="G292">
            <v>3.1867899999999998E-2</v>
          </cell>
          <cell r="H292">
            <v>3.207144E-2</v>
          </cell>
          <cell r="I292">
            <v>6.7208160000000003E-2</v>
          </cell>
          <cell r="J292">
            <v>6.2966250000000001E-2</v>
          </cell>
          <cell r="K292">
            <v>6.3416979999999998E-2</v>
          </cell>
          <cell r="L292">
            <v>6.0974180000000003E-2</v>
          </cell>
          <cell r="M292">
            <v>5.8870890000000002E-2</v>
          </cell>
          <cell r="N292">
            <v>5.6824569999999998E-2</v>
          </cell>
          <cell r="O292">
            <v>5.2997019999999999E-2</v>
          </cell>
          <cell r="P292">
            <v>5.1494949999999998E-2</v>
          </cell>
        </row>
        <row r="293">
          <cell r="A293" t="str">
            <v>CR.USD.CORP.NONFINANCE.BB.SPRD.SIMPLE#6M</v>
          </cell>
          <cell r="B293" t="str">
            <v>UNITED STATES CORP NONFINANCE BB 6M SIMPLE SPREAD OVER GOVT</v>
          </cell>
          <cell r="C293" t="str">
            <v>Credit Spread Risk</v>
          </cell>
          <cell r="D293">
            <v>1</v>
          </cell>
          <cell r="E293" t="str">
            <v>N/A</v>
          </cell>
          <cell r="F293" t="str">
            <v>Decimal</v>
          </cell>
          <cell r="G293">
            <v>3.1981660000000002E-2</v>
          </cell>
          <cell r="H293">
            <v>3.225194E-2</v>
          </cell>
          <cell r="I293">
            <v>6.6902870000000003E-2</v>
          </cell>
          <cell r="J293">
            <v>6.3693379999999994E-2</v>
          </cell>
          <cell r="K293">
            <v>6.2744110000000006E-2</v>
          </cell>
          <cell r="L293">
            <v>6.0290070000000001E-2</v>
          </cell>
          <cell r="M293">
            <v>5.8438740000000003E-2</v>
          </cell>
          <cell r="N293">
            <v>5.7315579999999998E-2</v>
          </cell>
          <cell r="O293">
            <v>5.3071309999999997E-2</v>
          </cell>
          <cell r="P293">
            <v>5.1829479999999997E-2</v>
          </cell>
        </row>
        <row r="294">
          <cell r="A294" t="str">
            <v>CR.USD.CORP.NONFINANCE.BBB.SPRD.PAR#10Y</v>
          </cell>
          <cell r="B294" t="str">
            <v>UNITED STATES CORP NONFINANCE BBB 10Y PAR SPREAD OVER GOVT</v>
          </cell>
          <cell r="C294" t="str">
            <v>Credit Spread Risk</v>
          </cell>
          <cell r="D294">
            <v>1</v>
          </cell>
          <cell r="E294" t="str">
            <v>N/A</v>
          </cell>
          <cell r="F294" t="str">
            <v>Decimal</v>
          </cell>
          <cell r="G294">
            <v>1.6435310000000002E-2</v>
          </cell>
          <cell r="H294">
            <v>1.682604E-2</v>
          </cell>
          <cell r="I294">
            <v>3.8970190000000002E-2</v>
          </cell>
          <cell r="J294">
            <v>3.6786699999999999E-2</v>
          </cell>
          <cell r="K294">
            <v>3.7707659999999997E-2</v>
          </cell>
          <cell r="L294">
            <v>3.7387579999999997E-2</v>
          </cell>
          <cell r="M294">
            <v>3.7064729999999997E-2</v>
          </cell>
          <cell r="N294">
            <v>3.5985620000000003E-2</v>
          </cell>
          <cell r="O294">
            <v>3.0596700000000001E-2</v>
          </cell>
          <cell r="P294">
            <v>3.0398600000000001E-2</v>
          </cell>
        </row>
        <row r="295">
          <cell r="A295" t="str">
            <v>CR.USD.CORP.NONFINANCE.BBB.SPRD.PAR#15Y</v>
          </cell>
          <cell r="B295" t="str">
            <v>UNITED STATES CORP NONFINANCE BBB 15Y PAR SPREAD OVER GOVT</v>
          </cell>
          <cell r="C295" t="str">
            <v>Credit Spread Risk</v>
          </cell>
          <cell r="D295">
            <v>1</v>
          </cell>
          <cell r="E295" t="str">
            <v>N/A</v>
          </cell>
          <cell r="F295" t="str">
            <v>Decimal</v>
          </cell>
          <cell r="G295">
            <v>1.8555780000000001E-2</v>
          </cell>
          <cell r="H295">
            <v>1.8789150000000001E-2</v>
          </cell>
          <cell r="I295">
            <v>3.9932740000000001E-2</v>
          </cell>
          <cell r="J295">
            <v>3.7717639999999997E-2</v>
          </cell>
          <cell r="K295">
            <v>3.8285140000000002E-2</v>
          </cell>
          <cell r="L295">
            <v>3.7736449999999998E-2</v>
          </cell>
          <cell r="M295">
            <v>3.7170269999999998E-2</v>
          </cell>
          <cell r="N295">
            <v>3.5924640000000001E-2</v>
          </cell>
          <cell r="O295">
            <v>3.0803270000000001E-2</v>
          </cell>
          <cell r="P295">
            <v>3.0391060000000001E-2</v>
          </cell>
        </row>
        <row r="296">
          <cell r="A296" t="str">
            <v>CR.USD.CORP.NONFINANCE.BBB.SPRD.PAR#20Y</v>
          </cell>
          <cell r="B296" t="str">
            <v>UNITED STATES CORP NONFINANCE BBB 20Y PAR SPREAD OVER GOVT</v>
          </cell>
          <cell r="C296" t="str">
            <v>Credit Spread Risk</v>
          </cell>
          <cell r="D296">
            <v>1</v>
          </cell>
          <cell r="E296" t="str">
            <v>N/A</v>
          </cell>
          <cell r="F296" t="str">
            <v>Decimal</v>
          </cell>
          <cell r="G296">
            <v>1.8591440000000001E-2</v>
          </cell>
          <cell r="H296">
            <v>1.8707439999999999E-2</v>
          </cell>
          <cell r="I296">
            <v>3.91834E-2</v>
          </cell>
          <cell r="J296">
            <v>3.6710159999999999E-2</v>
          </cell>
          <cell r="K296">
            <v>3.7065580000000001E-2</v>
          </cell>
          <cell r="L296">
            <v>3.6389589999999999E-2</v>
          </cell>
          <cell r="M296">
            <v>3.5701860000000002E-2</v>
          </cell>
          <cell r="N296">
            <v>3.4371110000000003E-2</v>
          </cell>
          <cell r="O296">
            <v>2.9276920000000001E-2</v>
          </cell>
          <cell r="P296">
            <v>2.883838E-2</v>
          </cell>
        </row>
        <row r="297">
          <cell r="A297" t="str">
            <v>CR.USD.CORP.NONFINANCE.BBB.SPRD.PAR#2Y</v>
          </cell>
          <cell r="B297" t="str">
            <v>UNITED STATES CORP NONFINANCE BBB 2Y PAR SPREAD OVER GOVT</v>
          </cell>
          <cell r="C297" t="str">
            <v>Credit Spread Risk</v>
          </cell>
          <cell r="D297">
            <v>1</v>
          </cell>
          <cell r="E297" t="str">
            <v>N/A</v>
          </cell>
          <cell r="F297" t="str">
            <v>Decimal</v>
          </cell>
          <cell r="G297">
            <v>7.7776299999999998E-3</v>
          </cell>
          <cell r="H297">
            <v>8.3367400000000005E-3</v>
          </cell>
          <cell r="I297">
            <v>3.166103E-2</v>
          </cell>
          <cell r="J297">
            <v>2.970107E-2</v>
          </cell>
          <cell r="K297">
            <v>3.1092499999999999E-2</v>
          </cell>
          <cell r="L297">
            <v>3.0488830000000001E-2</v>
          </cell>
          <cell r="M297">
            <v>3.0063510000000002E-2</v>
          </cell>
          <cell r="N297">
            <v>2.910971E-2</v>
          </cell>
          <cell r="O297">
            <v>2.419058E-2</v>
          </cell>
          <cell r="P297">
            <v>2.446678E-2</v>
          </cell>
        </row>
        <row r="298">
          <cell r="A298" t="str">
            <v>CR.USD.CORP.NONFINANCE.BBB.SPRD.PAR#30Y</v>
          </cell>
          <cell r="B298" t="str">
            <v>UNITED STATES CORP NONFINANCE BBB 30Y PAR SPREAD OVER GOVT</v>
          </cell>
          <cell r="C298" t="str">
            <v>Credit Spread Risk</v>
          </cell>
          <cell r="D298">
            <v>1</v>
          </cell>
          <cell r="E298" t="str">
            <v>N/A</v>
          </cell>
          <cell r="F298" t="str">
            <v>Decimal</v>
          </cell>
          <cell r="G298">
            <v>1.821733E-2</v>
          </cell>
          <cell r="H298">
            <v>1.8291180000000001E-2</v>
          </cell>
          <cell r="I298">
            <v>3.8579240000000001E-2</v>
          </cell>
          <cell r="J298">
            <v>3.6117469999999999E-2</v>
          </cell>
          <cell r="K298">
            <v>3.6512000000000003E-2</v>
          </cell>
          <cell r="L298">
            <v>3.5905300000000001E-2</v>
          </cell>
          <cell r="M298">
            <v>3.5263780000000002E-2</v>
          </cell>
          <cell r="N298">
            <v>3.3984269999999997E-2</v>
          </cell>
          <cell r="O298">
            <v>2.890146E-2</v>
          </cell>
          <cell r="P298">
            <v>2.8443619999999999E-2</v>
          </cell>
        </row>
        <row r="299">
          <cell r="A299" t="str">
            <v>CR.USD.CORP.NONFINANCE.BBB.SPRD.PAR#3Y</v>
          </cell>
          <cell r="B299" t="str">
            <v>UNITED STATES CORP NONFINANCE BBB 3Y PAR SPREAD OVER GOVT</v>
          </cell>
          <cell r="C299" t="str">
            <v>Credit Spread Risk</v>
          </cell>
          <cell r="D299">
            <v>1</v>
          </cell>
          <cell r="E299" t="str">
            <v>N/A</v>
          </cell>
          <cell r="F299" t="str">
            <v>Decimal</v>
          </cell>
          <cell r="G299">
            <v>9.3493399999999994E-3</v>
          </cell>
          <cell r="H299">
            <v>9.8159700000000003E-3</v>
          </cell>
          <cell r="I299">
            <v>3.2952740000000001E-2</v>
          </cell>
          <cell r="J299">
            <v>3.083835E-2</v>
          </cell>
          <cell r="K299">
            <v>3.1940000000000003E-2</v>
          </cell>
          <cell r="L299">
            <v>3.169781E-2</v>
          </cell>
          <cell r="M299">
            <v>3.1608539999999997E-2</v>
          </cell>
          <cell r="N299">
            <v>3.0941110000000001E-2</v>
          </cell>
          <cell r="O299">
            <v>2.627577E-2</v>
          </cell>
          <cell r="P299">
            <v>2.6165020000000001E-2</v>
          </cell>
        </row>
        <row r="300">
          <cell r="A300" t="str">
            <v>CR.USD.CORP.NONFINANCE.BBB.SPRD.PAR#5Y</v>
          </cell>
          <cell r="B300" t="str">
            <v>UNITED STATES CORP NONFINANCE BBB 5Y PAR SPREAD OVER GOVT</v>
          </cell>
          <cell r="C300" t="str">
            <v>Credit Spread Risk</v>
          </cell>
          <cell r="D300">
            <v>1</v>
          </cell>
          <cell r="E300" t="str">
            <v>N/A</v>
          </cell>
          <cell r="F300" t="str">
            <v>Decimal</v>
          </cell>
          <cell r="G300">
            <v>1.205118E-2</v>
          </cell>
          <cell r="H300">
            <v>1.2525349999999999E-2</v>
          </cell>
          <cell r="I300">
            <v>3.5471759999999998E-2</v>
          </cell>
          <cell r="J300">
            <v>3.3351909999999999E-2</v>
          </cell>
          <cell r="K300">
            <v>3.434334E-2</v>
          </cell>
          <cell r="L300">
            <v>3.4072829999999998E-2</v>
          </cell>
          <cell r="M300">
            <v>3.3894639999999997E-2</v>
          </cell>
          <cell r="N300">
            <v>3.3072860000000003E-2</v>
          </cell>
          <cell r="O300">
            <v>2.8189860000000001E-2</v>
          </cell>
          <cell r="P300">
            <v>2.7949069999999999E-2</v>
          </cell>
        </row>
        <row r="301">
          <cell r="A301" t="str">
            <v>CR.USD.CORP.NONFINANCE.BBB.SPRD.PAR#7Y</v>
          </cell>
          <cell r="B301" t="str">
            <v>UNITED STATES CORP NONFINANCE BBB 7Y PAR SPREAD OVER GOVT</v>
          </cell>
          <cell r="C301" t="str">
            <v>Credit Spread Risk</v>
          </cell>
          <cell r="D301">
            <v>1</v>
          </cell>
          <cell r="E301" t="str">
            <v>N/A</v>
          </cell>
          <cell r="F301" t="str">
            <v>Decimal</v>
          </cell>
          <cell r="G301">
            <v>1.414168E-2</v>
          </cell>
          <cell r="H301">
            <v>1.452343E-2</v>
          </cell>
          <cell r="I301">
            <v>3.7075520000000001E-2</v>
          </cell>
          <cell r="J301">
            <v>3.4900470000000003E-2</v>
          </cell>
          <cell r="K301">
            <v>3.5835510000000001E-2</v>
          </cell>
          <cell r="L301">
            <v>3.5530880000000001E-2</v>
          </cell>
          <cell r="M301">
            <v>3.5271509999999999E-2</v>
          </cell>
          <cell r="N301">
            <v>3.4302600000000003E-2</v>
          </cell>
          <cell r="O301">
            <v>2.913462E-2</v>
          </cell>
          <cell r="P301">
            <v>2.911656E-2</v>
          </cell>
        </row>
        <row r="302">
          <cell r="A302" t="str">
            <v>CR.USD.CORP.NONFINANCE.BBB.SPRD.SIMPLE#12M</v>
          </cell>
          <cell r="B302" t="str">
            <v>UNITED STATES CORP NONFINANCE BBB 12M SIMPLE SPREAD OVER GOVT</v>
          </cell>
          <cell r="C302" t="str">
            <v>Credit Spread Risk</v>
          </cell>
          <cell r="D302">
            <v>1</v>
          </cell>
          <cell r="E302" t="str">
            <v>N/A</v>
          </cell>
          <cell r="F302" t="str">
            <v>Decimal</v>
          </cell>
          <cell r="G302">
            <v>6.1924700000000003E-3</v>
          </cell>
          <cell r="H302">
            <v>7.0995600000000004E-3</v>
          </cell>
          <cell r="I302">
            <v>3.017237E-2</v>
          </cell>
          <cell r="J302">
            <v>2.797724E-2</v>
          </cell>
          <cell r="K302">
            <v>2.8961540000000001E-2</v>
          </cell>
          <cell r="L302">
            <v>2.8336150000000001E-2</v>
          </cell>
          <cell r="M302">
            <v>2.8054929999999999E-2</v>
          </cell>
          <cell r="N302">
            <v>2.7511290000000001E-2</v>
          </cell>
          <cell r="O302">
            <v>2.3316320000000001E-2</v>
          </cell>
          <cell r="P302">
            <v>2.3060440000000001E-2</v>
          </cell>
        </row>
        <row r="303">
          <cell r="A303" t="str">
            <v>CR.USD.CORP.NONFINANCE.BBB.SPRD.SIMPLE#1M</v>
          </cell>
          <cell r="B303" t="str">
            <v>UNITED STATES CORP NONFINANCE BBB 1M SIMPLE SPREAD OVER GOVT</v>
          </cell>
          <cell r="C303" t="str">
            <v>Credit Spread Risk</v>
          </cell>
          <cell r="D303">
            <v>1</v>
          </cell>
          <cell r="E303" t="str">
            <v>N/A</v>
          </cell>
          <cell r="F303" t="str">
            <v>Decimal</v>
          </cell>
          <cell r="G303">
            <v>6.0397799999999998E-3</v>
          </cell>
          <cell r="H303">
            <v>6.1664099999999998E-3</v>
          </cell>
          <cell r="I303">
            <v>2.8870940000000001E-2</v>
          </cell>
          <cell r="J303">
            <v>2.5936710000000002E-2</v>
          </cell>
          <cell r="K303">
            <v>2.9544750000000002E-2</v>
          </cell>
          <cell r="L303">
            <v>2.846769E-2</v>
          </cell>
          <cell r="M303">
            <v>2.696018E-2</v>
          </cell>
          <cell r="N303">
            <v>2.5319129999999999E-2</v>
          </cell>
          <cell r="O303">
            <v>2.1043849999999999E-2</v>
          </cell>
          <cell r="P303">
            <v>2.170333E-2</v>
          </cell>
        </row>
        <row r="304">
          <cell r="A304" t="str">
            <v>CR.USD.CORP.NONFINANCE.BBB.SPRD.SIMPLE#3M</v>
          </cell>
          <cell r="B304" t="str">
            <v>UNITED STATES CORP NONFINANCE BBB 3M SIMPLE SPREAD OVER GOVT</v>
          </cell>
          <cell r="C304" t="str">
            <v>Credit Spread Risk</v>
          </cell>
          <cell r="D304">
            <v>1</v>
          </cell>
          <cell r="E304" t="str">
            <v>N/A</v>
          </cell>
          <cell r="F304" t="str">
            <v>Decimal</v>
          </cell>
          <cell r="G304">
            <v>5.9881200000000004E-3</v>
          </cell>
          <cell r="H304">
            <v>6.1978299999999997E-3</v>
          </cell>
          <cell r="I304">
            <v>2.8881E-2</v>
          </cell>
          <cell r="J304">
            <v>2.5549849999999999E-2</v>
          </cell>
          <cell r="K304">
            <v>2.946965E-2</v>
          </cell>
          <cell r="L304">
            <v>2.8201549999999999E-2</v>
          </cell>
          <cell r="M304">
            <v>2.6909590000000001E-2</v>
          </cell>
          <cell r="N304">
            <v>2.535167E-2</v>
          </cell>
          <cell r="O304">
            <v>2.1349070000000001E-2</v>
          </cell>
          <cell r="P304">
            <v>2.1806269999999999E-2</v>
          </cell>
        </row>
        <row r="305">
          <cell r="A305" t="str">
            <v>CR.USD.CORP.NONFINANCE.BBB.SPRD.SIMPLE#6M</v>
          </cell>
          <cell r="B305" t="str">
            <v>UNITED STATES CORP NONFINANCE BBB 6M SIMPLE SPREAD OVER GOVT</v>
          </cell>
          <cell r="C305" t="str">
            <v>Credit Spread Risk</v>
          </cell>
          <cell r="D305">
            <v>1</v>
          </cell>
          <cell r="E305" t="str">
            <v>N/A</v>
          </cell>
          <cell r="F305" t="str">
            <v>Decimal</v>
          </cell>
          <cell r="G305">
            <v>6.1027299999999998E-3</v>
          </cell>
          <cell r="H305">
            <v>6.3836199999999996E-3</v>
          </cell>
          <cell r="I305">
            <v>2.8587970000000001E-2</v>
          </cell>
          <cell r="J305">
            <v>2.7384579999999999E-2</v>
          </cell>
          <cell r="K305">
            <v>2.9266400000000001E-2</v>
          </cell>
          <cell r="L305">
            <v>2.7978969999999999E-2</v>
          </cell>
          <cell r="M305">
            <v>2.694276E-2</v>
          </cell>
          <cell r="N305">
            <v>2.6204829999999998E-2</v>
          </cell>
          <cell r="O305">
            <v>2.1855349999999999E-2</v>
          </cell>
          <cell r="P305">
            <v>2.2569559999999999E-2</v>
          </cell>
        </row>
        <row r="306">
          <cell r="A306" t="str">
            <v>CR.USD.CORP.NONFINANCE.CCC.SPRD.PAR#10Y</v>
          </cell>
          <cell r="B306" t="str">
            <v>UNITED STATES CORP NONFINANCE CCC 10Y PAR SPREAD OVER GOVT</v>
          </cell>
          <cell r="C306" t="str">
            <v>Credit Spread Risk</v>
          </cell>
          <cell r="D306">
            <v>1</v>
          </cell>
          <cell r="E306" t="str">
            <v>N/A</v>
          </cell>
          <cell r="F306" t="str">
            <v>Decimal</v>
          </cell>
          <cell r="G306">
            <v>8.7862889999999999E-2</v>
          </cell>
          <cell r="H306">
            <v>8.7514469999999997E-2</v>
          </cell>
          <cell r="I306">
            <v>0.18976193</v>
          </cell>
          <cell r="J306">
            <v>0.17873049999999999</v>
          </cell>
          <cell r="K306">
            <v>0.17655314</v>
          </cell>
          <cell r="L306">
            <v>0.17350246</v>
          </cell>
          <cell r="M306">
            <v>0.17131071</v>
          </cell>
          <cell r="N306">
            <v>0.16763301</v>
          </cell>
          <cell r="O306">
            <v>0.15157975000000001</v>
          </cell>
          <cell r="P306">
            <v>0.14655871000000001</v>
          </cell>
        </row>
        <row r="307">
          <cell r="A307" t="str">
            <v>CR.USD.CORP.NONFINANCE.CCC.SPRD.PAR#15Y</v>
          </cell>
          <cell r="B307" t="str">
            <v>UNITED STATES CORP NONFINANCE CCC 15Y PAR SPREAD OVER GOVT</v>
          </cell>
          <cell r="C307" t="str">
            <v>Credit Spread Risk</v>
          </cell>
          <cell r="D307">
            <v>1</v>
          </cell>
          <cell r="E307" t="str">
            <v>N/A</v>
          </cell>
          <cell r="F307" t="str">
            <v>Decimal</v>
          </cell>
          <cell r="G307">
            <v>8.7140419999999996E-2</v>
          </cell>
          <cell r="H307">
            <v>8.6724430000000005E-2</v>
          </cell>
          <cell r="I307">
            <v>0.18578844999999999</v>
          </cell>
          <cell r="J307">
            <v>0.17483460000000001</v>
          </cell>
          <cell r="K307">
            <v>0.17265150000000001</v>
          </cell>
          <cell r="L307">
            <v>0.16954231</v>
          </cell>
          <cell r="M307">
            <v>0.16716632000000001</v>
          </cell>
          <cell r="N307">
            <v>0.16330652000000001</v>
          </cell>
          <cell r="O307">
            <v>0.14739557</v>
          </cell>
          <cell r="P307">
            <v>0.14245300999999999</v>
          </cell>
        </row>
        <row r="308">
          <cell r="A308" t="str">
            <v>CR.USD.CORP.NONFINANCE.CCC.SPRD.PAR#20Y</v>
          </cell>
          <cell r="B308" t="str">
            <v>UNITED STATES CORP NONFINANCE CCC 20Y PAR SPREAD OVER GOVT</v>
          </cell>
          <cell r="C308" t="str">
            <v>Credit Spread Risk</v>
          </cell>
          <cell r="D308">
            <v>1</v>
          </cell>
          <cell r="E308" t="str">
            <v>N/A</v>
          </cell>
          <cell r="F308" t="str">
            <v>Decimal</v>
          </cell>
          <cell r="G308">
            <v>8.5977680000000001E-2</v>
          </cell>
          <cell r="H308">
            <v>8.5439940000000006E-2</v>
          </cell>
          <cell r="I308">
            <v>0.18357017</v>
          </cell>
          <cell r="J308">
            <v>0.17255923000000001</v>
          </cell>
          <cell r="K308">
            <v>0.17041561</v>
          </cell>
          <cell r="L308">
            <v>0.16737166000000001</v>
          </cell>
          <cell r="M308">
            <v>0.16499113000000001</v>
          </cell>
          <cell r="N308">
            <v>0.16113812</v>
          </cell>
          <cell r="O308">
            <v>0.145204</v>
          </cell>
          <cell r="P308">
            <v>0.14021831000000001</v>
          </cell>
        </row>
        <row r="309">
          <cell r="A309" t="str">
            <v>CR.USD.CORP.NONFINANCE.CCC.SPRD.PAR#2Y</v>
          </cell>
          <cell r="B309" t="str">
            <v>UNITED STATES CORP NONFINANCE CCC 2Y PAR SPREAD OVER GOVT</v>
          </cell>
          <cell r="C309" t="str">
            <v>Credit Spread Risk</v>
          </cell>
          <cell r="D309">
            <v>1</v>
          </cell>
          <cell r="E309" t="str">
            <v>N/A</v>
          </cell>
          <cell r="F309" t="str">
            <v>Decimal</v>
          </cell>
          <cell r="G309">
            <v>9.0265719999999994E-2</v>
          </cell>
          <cell r="H309">
            <v>8.9993660000000003E-2</v>
          </cell>
          <cell r="I309">
            <v>0.19858086</v>
          </cell>
          <cell r="J309">
            <v>0.18685092</v>
          </cell>
          <cell r="K309">
            <v>0.18360176</v>
          </cell>
          <cell r="L309">
            <v>0.17943988</v>
          </cell>
          <cell r="M309">
            <v>0.17664109</v>
          </cell>
          <cell r="N309">
            <v>0.17278436</v>
          </cell>
          <cell r="O309">
            <v>0.15771182</v>
          </cell>
          <cell r="P309">
            <v>0.15256755999999999</v>
          </cell>
        </row>
        <row r="310">
          <cell r="A310" t="str">
            <v>CR.USD.CORP.NONFINANCE.CCC.SPRD.PAR#30Y</v>
          </cell>
          <cell r="B310" t="str">
            <v>UNITED STATES CORP NONFINANCE CCC 30Y PAR SPREAD OVER GOVT</v>
          </cell>
          <cell r="C310" t="str">
            <v>Credit Spread Risk</v>
          </cell>
          <cell r="D310">
            <v>1</v>
          </cell>
          <cell r="E310" t="str">
            <v>N/A</v>
          </cell>
          <cell r="F310" t="str">
            <v>Decimal</v>
          </cell>
          <cell r="G310">
            <v>8.5060010000000005E-2</v>
          </cell>
          <cell r="H310">
            <v>8.4396349999999995E-2</v>
          </cell>
          <cell r="I310">
            <v>0.18187376999999999</v>
          </cell>
          <cell r="J310">
            <v>0.17089041999999999</v>
          </cell>
          <cell r="K310">
            <v>0.16892099999999999</v>
          </cell>
          <cell r="L310">
            <v>0.1660711</v>
          </cell>
          <cell r="M310">
            <v>0.16380718</v>
          </cell>
          <cell r="N310">
            <v>0.16007604</v>
          </cell>
          <cell r="O310">
            <v>0.14406672000000001</v>
          </cell>
          <cell r="P310">
            <v>0.13898912999999999</v>
          </cell>
        </row>
        <row r="311">
          <cell r="A311" t="str">
            <v>CR.USD.CORP.NONFINANCE.CCC.SPRD.PAR#3Y</v>
          </cell>
          <cell r="B311" t="str">
            <v>UNITED STATES CORP NONFINANCE CCC 3Y PAR SPREAD OVER GOVT</v>
          </cell>
          <cell r="C311" t="str">
            <v>Credit Spread Risk</v>
          </cell>
          <cell r="D311">
            <v>1</v>
          </cell>
          <cell r="E311" t="str">
            <v>N/A</v>
          </cell>
          <cell r="F311" t="str">
            <v>Decimal</v>
          </cell>
          <cell r="G311">
            <v>8.9837799999999995E-2</v>
          </cell>
          <cell r="H311">
            <v>8.9468279999999997E-2</v>
          </cell>
          <cell r="I311">
            <v>0.19776348999999999</v>
          </cell>
          <cell r="J311">
            <v>0.18609112999999999</v>
          </cell>
          <cell r="K311">
            <v>0.18276946999999999</v>
          </cell>
          <cell r="L311">
            <v>0.17895301</v>
          </cell>
          <cell r="M311">
            <v>0.17648227999999999</v>
          </cell>
          <cell r="N311">
            <v>0.17289044000000001</v>
          </cell>
          <cell r="O311">
            <v>0.15802361000000001</v>
          </cell>
          <cell r="P311">
            <v>0.15265332000000001</v>
          </cell>
        </row>
        <row r="312">
          <cell r="A312" t="str">
            <v>CR.USD.CORP.NONFINANCE.CCC.SPRD.PAR#5Y</v>
          </cell>
          <cell r="B312" t="str">
            <v>UNITED STATES CORP NONFINANCE CCC 5Y PAR SPREAD OVER GOVT</v>
          </cell>
          <cell r="C312" t="str">
            <v>Credit Spread Risk</v>
          </cell>
          <cell r="D312">
            <v>1</v>
          </cell>
          <cell r="E312" t="str">
            <v>N/A</v>
          </cell>
          <cell r="F312" t="str">
            <v>Decimal</v>
          </cell>
          <cell r="G312">
            <v>8.901452E-2</v>
          </cell>
          <cell r="H312">
            <v>8.8662389999999994E-2</v>
          </cell>
          <cell r="I312">
            <v>0.19641235000000001</v>
          </cell>
          <cell r="J312">
            <v>0.18493303</v>
          </cell>
          <cell r="K312">
            <v>0.18176344999999999</v>
          </cell>
          <cell r="L312">
            <v>0.17815928</v>
          </cell>
          <cell r="M312">
            <v>0.17577430999999999</v>
          </cell>
          <cell r="N312">
            <v>0.17220785</v>
          </cell>
          <cell r="O312">
            <v>0.15720475</v>
          </cell>
          <cell r="P312">
            <v>0.15174863</v>
          </cell>
        </row>
        <row r="313">
          <cell r="A313" t="str">
            <v>CR.USD.CORP.NONFINANCE.CCC.SPRD.PAR#7Y</v>
          </cell>
          <cell r="B313" t="str">
            <v>UNITED STATES CORP NONFINANCE CCC 7Y PAR SPREAD OVER GOVT</v>
          </cell>
          <cell r="C313" t="str">
            <v>Credit Spread Risk</v>
          </cell>
          <cell r="D313">
            <v>1</v>
          </cell>
          <cell r="E313" t="str">
            <v>N/A</v>
          </cell>
          <cell r="F313" t="str">
            <v>Decimal</v>
          </cell>
          <cell r="G313">
            <v>8.8335109999999994E-2</v>
          </cell>
          <cell r="H313">
            <v>8.7935180000000002E-2</v>
          </cell>
          <cell r="I313">
            <v>0.19314479000000001</v>
          </cell>
          <cell r="J313">
            <v>0.18191373999999999</v>
          </cell>
          <cell r="K313">
            <v>0.17922842999999999</v>
          </cell>
          <cell r="L313">
            <v>0.17592476000000001</v>
          </cell>
          <cell r="M313">
            <v>0.17366870000000001</v>
          </cell>
          <cell r="N313">
            <v>0.17008456999999999</v>
          </cell>
          <cell r="O313">
            <v>0.15460009999999999</v>
          </cell>
          <cell r="P313">
            <v>0.14944334000000001</v>
          </cell>
        </row>
        <row r="314">
          <cell r="A314" t="str">
            <v>CR.USD.CORP.NONFINANCE.CCC.SPRD.SIMPLE#12M</v>
          </cell>
          <cell r="B314" t="str">
            <v>UNITED STATES CORP NONFINANCE CCC 12M SIMPLE SPREAD OVER GOVT</v>
          </cell>
          <cell r="C314" t="str">
            <v>Credit Spread Risk</v>
          </cell>
          <cell r="D314">
            <v>1</v>
          </cell>
          <cell r="E314" t="str">
            <v>N/A</v>
          </cell>
          <cell r="F314" t="str">
            <v>Decimal</v>
          </cell>
          <cell r="G314">
            <v>8.9338039999999994E-2</v>
          </cell>
          <cell r="H314">
            <v>8.9561779999999994E-2</v>
          </cell>
          <cell r="I314">
            <v>0.1965587</v>
          </cell>
          <cell r="J314">
            <v>0.18463029</v>
          </cell>
          <cell r="K314">
            <v>0.18084262000000001</v>
          </cell>
          <cell r="L314">
            <v>0.1766296</v>
          </cell>
          <cell r="M314">
            <v>0.17390483000000001</v>
          </cell>
          <cell r="N314">
            <v>0.17038623999999999</v>
          </cell>
          <cell r="O314">
            <v>0.15608</v>
          </cell>
          <cell r="P314">
            <v>0.15053605</v>
          </cell>
        </row>
        <row r="315">
          <cell r="A315" t="str">
            <v>CR.USD.CORP.NONFINANCE.CCC.SPRD.SIMPLE#1M</v>
          </cell>
          <cell r="B315" t="str">
            <v>UNITED STATES CORP NONFINANCE CCC 1M SIMPLE SPREAD OVER GOVT</v>
          </cell>
          <cell r="C315" t="str">
            <v>Credit Spread Risk</v>
          </cell>
          <cell r="D315">
            <v>1</v>
          </cell>
          <cell r="E315" t="str">
            <v>N/A</v>
          </cell>
          <cell r="F315" t="str">
            <v>Decimal</v>
          </cell>
          <cell r="G315">
            <v>8.9189199999999996E-2</v>
          </cell>
          <cell r="H315">
            <v>8.9257260000000005E-2</v>
          </cell>
          <cell r="I315">
            <v>0.19671965</v>
          </cell>
          <cell r="J315">
            <v>0.18516202000000001</v>
          </cell>
          <cell r="K315">
            <v>0.18340429999999999</v>
          </cell>
          <cell r="L315">
            <v>0.17870637</v>
          </cell>
          <cell r="M315">
            <v>0.17466532000000001</v>
          </cell>
          <cell r="N315">
            <v>0.16994844000000001</v>
          </cell>
          <cell r="O315">
            <v>0.15566373999999999</v>
          </cell>
          <cell r="P315">
            <v>0.15084800000000001</v>
          </cell>
        </row>
        <row r="316">
          <cell r="A316" t="str">
            <v>CR.USD.CORP.NONFINANCE.CCC.SPRD.SIMPLE#3M</v>
          </cell>
          <cell r="B316" t="str">
            <v>UNITED STATES CORP NONFINANCE CCC 3M SIMPLE SPREAD OVER GOVT</v>
          </cell>
          <cell r="C316" t="str">
            <v>Credit Spread Risk</v>
          </cell>
          <cell r="D316">
            <v>1</v>
          </cell>
          <cell r="E316" t="str">
            <v>N/A</v>
          </cell>
          <cell r="F316" t="str">
            <v>Decimal</v>
          </cell>
          <cell r="G316">
            <v>8.9137560000000005E-2</v>
          </cell>
          <cell r="H316">
            <v>8.9282159999999999E-2</v>
          </cell>
          <cell r="I316">
            <v>0.19671764</v>
          </cell>
          <cell r="J316">
            <v>0.18470687999999999</v>
          </cell>
          <cell r="K316">
            <v>0.18298506</v>
          </cell>
          <cell r="L316">
            <v>0.17805915999999999</v>
          </cell>
          <cell r="M316">
            <v>0.17427305000000001</v>
          </cell>
          <cell r="N316">
            <v>0.16962151</v>
          </cell>
          <cell r="O316">
            <v>0.15561258</v>
          </cell>
          <cell r="P316">
            <v>0.15055088999999999</v>
          </cell>
        </row>
        <row r="317">
          <cell r="A317" t="str">
            <v>CR.USD.CORP.NONFINANCE.CCC.SPRD.SIMPLE#6M</v>
          </cell>
          <cell r="B317" t="str">
            <v>UNITED STATES CORP NONFINANCE CCC 6M SIMPLE SPREAD OVER GOVT</v>
          </cell>
          <cell r="C317" t="str">
            <v>Credit Spread Risk</v>
          </cell>
          <cell r="D317">
            <v>1</v>
          </cell>
          <cell r="E317" t="str">
            <v>N/A</v>
          </cell>
          <cell r="F317" t="str">
            <v>Decimal</v>
          </cell>
          <cell r="G317">
            <v>8.9251220000000006E-2</v>
          </cell>
          <cell r="H317">
            <v>8.9454149999999996E-2</v>
          </cell>
          <cell r="I317">
            <v>0.19638091999999999</v>
          </cell>
          <cell r="J317">
            <v>0.18538925000000001</v>
          </cell>
          <cell r="K317">
            <v>0.18220275</v>
          </cell>
          <cell r="L317">
            <v>0.17729302999999999</v>
          </cell>
          <cell r="M317">
            <v>0.17376226</v>
          </cell>
          <cell r="N317">
            <v>0.17005720999999999</v>
          </cell>
          <cell r="O317">
            <v>0.15561762000000001</v>
          </cell>
          <cell r="P317">
            <v>0.15084106999999999</v>
          </cell>
        </row>
        <row r="318">
          <cell r="A318" t="str">
            <v>CR.USD.MUNI.TAXABLE.A.SPRD.PAR#10Y</v>
          </cell>
          <cell r="B318" t="str">
            <v>UNITED STATES MUNI TAXABLE A 10Y PAR SPREAD OVER GOVT</v>
          </cell>
          <cell r="C318" t="str">
            <v>Credit Spread Risk</v>
          </cell>
          <cell r="D318">
            <v>1</v>
          </cell>
          <cell r="E318" t="str">
            <v>N/A</v>
          </cell>
          <cell r="F318" t="str">
            <v>Decimal</v>
          </cell>
          <cell r="G318">
            <v>1.06096E-2</v>
          </cell>
          <cell r="H318">
            <v>1.0868859999999999E-2</v>
          </cell>
          <cell r="I318">
            <v>3.0034890000000002E-2</v>
          </cell>
          <cell r="J318">
            <v>2.6994000000000001E-2</v>
          </cell>
          <cell r="K318">
            <v>2.6295659999999998E-2</v>
          </cell>
          <cell r="L318">
            <v>2.4904550000000001E-2</v>
          </cell>
          <cell r="M318">
            <v>2.369566E-2</v>
          </cell>
          <cell r="N318">
            <v>2.2192380000000001E-2</v>
          </cell>
          <cell r="O318">
            <v>1.8275179999999999E-2</v>
          </cell>
          <cell r="P318">
            <v>1.7984630000000001E-2</v>
          </cell>
        </row>
        <row r="319">
          <cell r="A319" t="str">
            <v>CR.USD.MUNI.TAXABLE.A.SPRD.PAR#15Y</v>
          </cell>
          <cell r="B319" t="str">
            <v>UNITED STATES MUNI TAXABLE A 15Y PAR SPREAD OVER GOVT</v>
          </cell>
          <cell r="C319" t="str">
            <v>Credit Spread Risk</v>
          </cell>
          <cell r="D319">
            <v>1</v>
          </cell>
          <cell r="E319" t="str">
            <v>N/A</v>
          </cell>
          <cell r="F319" t="str">
            <v>Decimal</v>
          </cell>
          <cell r="G319">
            <v>1.226944E-2</v>
          </cell>
          <cell r="H319">
            <v>1.242481E-2</v>
          </cell>
          <cell r="I319">
            <v>3.0366460000000001E-2</v>
          </cell>
          <cell r="J319">
            <v>2.7575390000000002E-2</v>
          </cell>
          <cell r="K319">
            <v>2.6468660000000001E-2</v>
          </cell>
          <cell r="L319">
            <v>2.491092E-2</v>
          </cell>
          <cell r="M319">
            <v>2.3523479999999999E-2</v>
          </cell>
          <cell r="N319">
            <v>2.200218E-2</v>
          </cell>
          <cell r="O319">
            <v>1.8904049999999999E-2</v>
          </cell>
          <cell r="P319">
            <v>1.8338839999999999E-2</v>
          </cell>
        </row>
        <row r="320">
          <cell r="A320" t="str">
            <v>CR.USD.MUNI.TAXABLE.A.SPRD.PAR#20Y</v>
          </cell>
          <cell r="B320" t="str">
            <v>UNITED STATES MUNI TAXABLE A 20Y PAR SPREAD OVER GOVT</v>
          </cell>
          <cell r="C320" t="str">
            <v>Credit Spread Risk</v>
          </cell>
          <cell r="D320">
            <v>1</v>
          </cell>
          <cell r="E320" t="str">
            <v>N/A</v>
          </cell>
          <cell r="F320" t="str">
            <v>Decimal</v>
          </cell>
          <cell r="G320">
            <v>1.242804E-2</v>
          </cell>
          <cell r="H320">
            <v>1.2512540000000001E-2</v>
          </cell>
          <cell r="I320">
            <v>2.9596799999999999E-2</v>
          </cell>
          <cell r="J320">
            <v>2.6652769999999999E-2</v>
          </cell>
          <cell r="K320">
            <v>2.5333399999999999E-2</v>
          </cell>
          <cell r="L320">
            <v>2.3696720000000001E-2</v>
          </cell>
          <cell r="M320">
            <v>2.2249769999999999E-2</v>
          </cell>
          <cell r="N320">
            <v>2.0737849999999999E-2</v>
          </cell>
          <cell r="O320">
            <v>1.790578E-2</v>
          </cell>
          <cell r="P320">
            <v>1.7331039999999999E-2</v>
          </cell>
        </row>
        <row r="321">
          <cell r="A321" t="str">
            <v>CR.USD.MUNI.TAXABLE.A.SPRD.PAR#2Y</v>
          </cell>
          <cell r="B321" t="str">
            <v>UNITED STATES MUNI TAXABLE A 2Y PAR SPREAD OVER GOVT</v>
          </cell>
          <cell r="C321" t="str">
            <v>Credit Spread Risk</v>
          </cell>
          <cell r="D321">
            <v>1</v>
          </cell>
          <cell r="E321" t="str">
            <v>N/A</v>
          </cell>
          <cell r="F321" t="str">
            <v>Decimal</v>
          </cell>
          <cell r="G321">
            <v>5.1846499999999998E-3</v>
          </cell>
          <cell r="H321">
            <v>5.5176499999999998E-3</v>
          </cell>
          <cell r="I321">
            <v>2.6196290000000001E-2</v>
          </cell>
          <cell r="J321">
            <v>2.2805499999999999E-2</v>
          </cell>
          <cell r="K321">
            <v>2.2380009999999999E-2</v>
          </cell>
          <cell r="L321">
            <v>2.081332E-2</v>
          </cell>
          <cell r="M321">
            <v>1.9666679999999999E-2</v>
          </cell>
          <cell r="N321">
            <v>1.8443629999999999E-2</v>
          </cell>
          <cell r="O321">
            <v>1.4788809999999999E-2</v>
          </cell>
          <cell r="P321">
            <v>1.454019E-2</v>
          </cell>
        </row>
        <row r="322">
          <cell r="A322" t="str">
            <v>CR.USD.MUNI.TAXABLE.A.SPRD.PAR#30Y</v>
          </cell>
          <cell r="B322" t="str">
            <v>UNITED STATES MUNI TAXABLE A 30Y PAR SPREAD OVER GOVT</v>
          </cell>
          <cell r="C322" t="str">
            <v>Credit Spread Risk</v>
          </cell>
          <cell r="D322">
            <v>1</v>
          </cell>
          <cell r="E322" t="str">
            <v>N/A</v>
          </cell>
          <cell r="F322" t="str">
            <v>Decimal</v>
          </cell>
          <cell r="G322">
            <v>1.2799949999999999E-2</v>
          </cell>
          <cell r="H322">
            <v>1.2885519999999999E-2</v>
          </cell>
          <cell r="I322">
            <v>2.9612240000000001E-2</v>
          </cell>
          <cell r="J322">
            <v>2.698557E-2</v>
          </cell>
          <cell r="K322">
            <v>2.5971290000000001E-2</v>
          </cell>
          <cell r="L322">
            <v>2.4625230000000001E-2</v>
          </cell>
          <cell r="M322">
            <v>2.3427400000000001E-2</v>
          </cell>
          <cell r="N322">
            <v>2.212737E-2</v>
          </cell>
          <cell r="O322">
            <v>1.9288920000000001E-2</v>
          </cell>
          <cell r="P322">
            <v>1.8676459999999999E-2</v>
          </cell>
        </row>
        <row r="323">
          <cell r="A323" t="str">
            <v>CR.USD.MUNI.TAXABLE.A.SPRD.PAR#3Y</v>
          </cell>
          <cell r="B323" t="str">
            <v>UNITED STATES MUNI TAXABLE A 3Y PAR SPREAD OVER GOVT</v>
          </cell>
          <cell r="C323" t="str">
            <v>Credit Spread Risk</v>
          </cell>
          <cell r="D323">
            <v>1</v>
          </cell>
          <cell r="E323" t="str">
            <v>N/A</v>
          </cell>
          <cell r="F323" t="str">
            <v>Decimal</v>
          </cell>
          <cell r="G323">
            <v>6.2010600000000004E-3</v>
          </cell>
          <cell r="H323">
            <v>6.68193E-3</v>
          </cell>
          <cell r="I323">
            <v>2.7462919999999998E-2</v>
          </cell>
          <cell r="J323">
            <v>2.4255639999999998E-2</v>
          </cell>
          <cell r="K323">
            <v>2.3934839999999999E-2</v>
          </cell>
          <cell r="L323">
            <v>2.2102819999999999E-2</v>
          </cell>
          <cell r="M323">
            <v>2.0582110000000001E-2</v>
          </cell>
          <cell r="N323">
            <v>1.8829410000000001E-2</v>
          </cell>
          <cell r="O323">
            <v>1.4499450000000001E-2</v>
          </cell>
          <cell r="P323">
            <v>1.427576E-2</v>
          </cell>
        </row>
        <row r="324">
          <cell r="A324" t="str">
            <v>CR.USD.MUNI.TAXABLE.A.SPRD.PAR#5Y</v>
          </cell>
          <cell r="B324" t="str">
            <v>UNITED STATES MUNI TAXABLE A 5Y PAR SPREAD OVER GOVT</v>
          </cell>
          <cell r="C324" t="str">
            <v>Credit Spread Risk</v>
          </cell>
          <cell r="D324">
            <v>1</v>
          </cell>
          <cell r="E324" t="str">
            <v>N/A</v>
          </cell>
          <cell r="F324" t="str">
            <v>Decimal</v>
          </cell>
          <cell r="G324">
            <v>7.8787200000000005E-3</v>
          </cell>
          <cell r="H324">
            <v>8.1283699999999993E-3</v>
          </cell>
          <cell r="I324">
            <v>2.8504479999999999E-2</v>
          </cell>
          <cell r="J324">
            <v>2.499471E-2</v>
          </cell>
          <cell r="K324">
            <v>2.4247620000000001E-2</v>
          </cell>
          <cell r="L324">
            <v>2.2655979999999999E-2</v>
          </cell>
          <cell r="M324">
            <v>2.134832E-2</v>
          </cell>
          <cell r="N324">
            <v>1.9785150000000001E-2</v>
          </cell>
          <cell r="O324">
            <v>1.5634749999999999E-2</v>
          </cell>
          <cell r="P324">
            <v>1.5386520000000001E-2</v>
          </cell>
        </row>
        <row r="325">
          <cell r="A325" t="str">
            <v>CR.USD.MUNI.TAXABLE.A.SPRD.PAR#7Y</v>
          </cell>
          <cell r="B325" t="str">
            <v>UNITED STATES MUNI TAXABLE A 7Y PAR SPREAD OVER GOVT</v>
          </cell>
          <cell r="C325" t="str">
            <v>Credit Spread Risk</v>
          </cell>
          <cell r="D325">
            <v>1</v>
          </cell>
          <cell r="E325" t="str">
            <v>N/A</v>
          </cell>
          <cell r="F325" t="str">
            <v>Decimal</v>
          </cell>
          <cell r="G325">
            <v>9.1479000000000005E-3</v>
          </cell>
          <cell r="H325">
            <v>9.3697699999999995E-3</v>
          </cell>
          <cell r="I325">
            <v>2.92082E-2</v>
          </cell>
          <cell r="J325">
            <v>2.589808E-2</v>
          </cell>
          <cell r="K325">
            <v>2.517842E-2</v>
          </cell>
          <cell r="L325">
            <v>2.3690699999999999E-2</v>
          </cell>
          <cell r="M325">
            <v>2.2438739999999999E-2</v>
          </cell>
          <cell r="N325">
            <v>2.0898469999999999E-2</v>
          </cell>
          <cell r="O325">
            <v>1.6816319999999999E-2</v>
          </cell>
          <cell r="P325">
            <v>1.6643990000000001E-2</v>
          </cell>
        </row>
        <row r="326">
          <cell r="A326" t="str">
            <v>CR.USD.MUNI.TAXABLE.A.SPRD.SIMPLE#12M</v>
          </cell>
          <cell r="B326" t="str">
            <v>UNITED STATES MUNI TAXABLE A 12M SIMPLE SPREAD OVER GOVT</v>
          </cell>
          <cell r="C326" t="str">
            <v>Credit Spread Risk</v>
          </cell>
          <cell r="D326">
            <v>1</v>
          </cell>
          <cell r="E326" t="str">
            <v>N/A</v>
          </cell>
          <cell r="F326" t="str">
            <v>Decimal</v>
          </cell>
          <cell r="G326">
            <v>4.17512E-3</v>
          </cell>
          <cell r="H326">
            <v>4.9183400000000002E-3</v>
          </cell>
          <cell r="I326">
            <v>2.5406789999999999E-2</v>
          </cell>
          <cell r="J326">
            <v>2.179911E-2</v>
          </cell>
          <cell r="K326">
            <v>2.0956869999999999E-2</v>
          </cell>
          <cell r="L326">
            <v>1.899371E-2</v>
          </cell>
          <cell r="M326">
            <v>1.7561259999999999E-2</v>
          </cell>
          <cell r="N326">
            <v>1.6246699999999999E-2</v>
          </cell>
          <cell r="O326">
            <v>1.2723140000000001E-2</v>
          </cell>
          <cell r="P326">
            <v>1.3096419999999999E-2</v>
          </cell>
        </row>
        <row r="327">
          <cell r="A327" t="str">
            <v>CR.USD.MUNI.TAXABLE.A.SPRD.SIMPLE#1M</v>
          </cell>
          <cell r="B327" t="str">
            <v>UNITED STATES MUNI TAXABLE A 1M SIMPLE SPREAD OVER GOVT</v>
          </cell>
          <cell r="C327" t="str">
            <v>Credit Spread Risk</v>
          </cell>
          <cell r="D327">
            <v>1</v>
          </cell>
          <cell r="E327" t="str">
            <v>N/A</v>
          </cell>
          <cell r="F327" t="str">
            <v>Decimal</v>
          </cell>
          <cell r="G327">
            <v>4.0235100000000001E-3</v>
          </cell>
          <cell r="H327">
            <v>4.15644E-3</v>
          </cell>
          <cell r="I327">
            <v>2.4517440000000001E-2</v>
          </cell>
          <cell r="J327">
            <v>2.0475440000000001E-2</v>
          </cell>
          <cell r="K327">
            <v>2.2035099999999998E-2</v>
          </cell>
          <cell r="L327">
            <v>1.9633479999999998E-2</v>
          </cell>
          <cell r="M327">
            <v>1.6994510000000001E-2</v>
          </cell>
          <cell r="N327">
            <v>1.460473E-2</v>
          </cell>
          <cell r="O327">
            <v>1.096667E-2</v>
          </cell>
          <cell r="P327">
            <v>1.146896E-2</v>
          </cell>
        </row>
        <row r="328">
          <cell r="A328" t="str">
            <v>CR.USD.MUNI.TAXABLE.A.SPRD.SIMPLE#3M</v>
          </cell>
          <cell r="B328" t="str">
            <v>UNITED STATES MUNI TAXABLE A 3M SIMPLE SPREAD OVER GOVT</v>
          </cell>
          <cell r="C328" t="str">
            <v>Credit Spread Risk</v>
          </cell>
          <cell r="D328">
            <v>1</v>
          </cell>
          <cell r="E328" t="str">
            <v>N/A</v>
          </cell>
          <cell r="F328" t="str">
            <v>Decimal</v>
          </cell>
          <cell r="G328">
            <v>3.9718599999999998E-3</v>
          </cell>
          <cell r="H328">
            <v>4.18783E-3</v>
          </cell>
          <cell r="I328">
            <v>2.4527480000000001E-2</v>
          </cell>
          <cell r="J328">
            <v>2.0090480000000001E-2</v>
          </cell>
          <cell r="K328">
            <v>2.1869E-2</v>
          </cell>
          <cell r="L328">
            <v>1.9280490000000001E-2</v>
          </cell>
          <cell r="M328">
            <v>1.685298E-2</v>
          </cell>
          <cell r="N328">
            <v>1.454775E-2</v>
          </cell>
          <cell r="O328">
            <v>1.117891E-2</v>
          </cell>
          <cell r="P328">
            <v>1.148659E-2</v>
          </cell>
        </row>
        <row r="329">
          <cell r="A329" t="str">
            <v>CR.USD.MUNI.TAXABLE.A.SPRD.SIMPLE#6M</v>
          </cell>
          <cell r="B329" t="str">
            <v>UNITED STATES MUNI TAXABLE A 6M SIMPLE SPREAD OVER GOVT</v>
          </cell>
          <cell r="C329" t="str">
            <v>Credit Spread Risk</v>
          </cell>
          <cell r="D329">
            <v>1</v>
          </cell>
          <cell r="E329" t="str">
            <v>N/A</v>
          </cell>
          <cell r="F329" t="str">
            <v>Decimal</v>
          </cell>
          <cell r="G329">
            <v>4.0861999999999999E-3</v>
          </cell>
          <cell r="H329">
            <v>4.3734400000000001E-3</v>
          </cell>
          <cell r="I329">
            <v>2.4235090000000001E-2</v>
          </cell>
          <cell r="J329">
            <v>2.1580729999999999E-2</v>
          </cell>
          <cell r="K329">
            <v>2.1533320000000002E-2</v>
          </cell>
          <cell r="L329">
            <v>1.892421E-2</v>
          </cell>
          <cell r="M329">
            <v>1.6750979999999999E-2</v>
          </cell>
          <cell r="N329">
            <v>1.523234E-2</v>
          </cell>
          <cell r="O329">
            <v>1.1546209999999999E-2</v>
          </cell>
          <cell r="P329">
            <v>1.2106860000000001E-2</v>
          </cell>
        </row>
        <row r="330">
          <cell r="A330" t="str">
            <v>CR.USD.MUNI.TAXABLE.AA.SPRD.PAR#10Y</v>
          </cell>
          <cell r="B330" t="str">
            <v>UNITED STATES MUNI TAXABLE AA 10Y PAR SPREAD OVER GOVT</v>
          </cell>
          <cell r="C330" t="str">
            <v>Credit Spread Risk</v>
          </cell>
          <cell r="D330">
            <v>1</v>
          </cell>
          <cell r="E330" t="str">
            <v>N/A</v>
          </cell>
          <cell r="F330" t="str">
            <v>Decimal</v>
          </cell>
          <cell r="G330">
            <v>7.9001100000000001E-3</v>
          </cell>
          <cell r="H330">
            <v>8.1915200000000007E-3</v>
          </cell>
          <cell r="I330">
            <v>2.1231429999999999E-2</v>
          </cell>
          <cell r="J330">
            <v>1.9468360000000001E-2</v>
          </cell>
          <cell r="K330">
            <v>1.8992060000000002E-2</v>
          </cell>
          <cell r="L330">
            <v>1.8185059999999999E-2</v>
          </cell>
          <cell r="M330">
            <v>1.7542100000000001E-2</v>
          </cell>
          <cell r="N330">
            <v>1.6800019999999999E-2</v>
          </cell>
          <cell r="O330">
            <v>1.473178E-2</v>
          </cell>
          <cell r="P330">
            <v>1.4602530000000001E-2</v>
          </cell>
        </row>
        <row r="331">
          <cell r="A331" t="str">
            <v>CR.USD.MUNI.TAXABLE.AA.SPRD.PAR#15Y</v>
          </cell>
          <cell r="B331" t="str">
            <v>UNITED STATES MUNI TAXABLE AA 15Y PAR SPREAD OVER GOVT</v>
          </cell>
          <cell r="C331" t="str">
            <v>Credit Spread Risk</v>
          </cell>
          <cell r="D331">
            <v>1</v>
          </cell>
          <cell r="E331" t="str">
            <v>N/A</v>
          </cell>
          <cell r="F331" t="str">
            <v>Decimal</v>
          </cell>
          <cell r="G331">
            <v>1.0101590000000001E-2</v>
          </cell>
          <cell r="H331">
            <v>1.0290199999999999E-2</v>
          </cell>
          <cell r="I331">
            <v>2.2871329999999999E-2</v>
          </cell>
          <cell r="J331">
            <v>2.1242529999999999E-2</v>
          </cell>
          <cell r="K331">
            <v>2.036572E-2</v>
          </cell>
          <cell r="L331">
            <v>1.9333860000000001E-2</v>
          </cell>
          <cell r="M331">
            <v>1.84537E-2</v>
          </cell>
          <cell r="N331">
            <v>1.7596509999999999E-2</v>
          </cell>
          <cell r="O331">
            <v>1.604945E-2</v>
          </cell>
          <cell r="P331">
            <v>1.5612869999999999E-2</v>
          </cell>
        </row>
        <row r="332">
          <cell r="A332" t="str">
            <v>CR.USD.MUNI.TAXABLE.AA.SPRD.PAR#20Y</v>
          </cell>
          <cell r="B332" t="str">
            <v>UNITED STATES MUNI TAXABLE AA 20Y PAR SPREAD OVER GOVT</v>
          </cell>
          <cell r="C332" t="str">
            <v>Credit Spread Risk</v>
          </cell>
          <cell r="D332">
            <v>1</v>
          </cell>
          <cell r="E332" t="str">
            <v>N/A</v>
          </cell>
          <cell r="F332" t="str">
            <v>Decimal</v>
          </cell>
          <cell r="G332">
            <v>1.054048E-2</v>
          </cell>
          <cell r="H332">
            <v>1.0661179999999999E-2</v>
          </cell>
          <cell r="I332">
            <v>2.291955E-2</v>
          </cell>
          <cell r="J332">
            <v>2.1095880000000001E-2</v>
          </cell>
          <cell r="K332">
            <v>1.9961050000000001E-2</v>
          </cell>
          <cell r="L332">
            <v>1.8804040000000001E-2</v>
          </cell>
          <cell r="M332">
            <v>1.7825420000000002E-2</v>
          </cell>
          <cell r="N332">
            <v>1.6940819999999999E-2</v>
          </cell>
          <cell r="O332">
            <v>1.560477E-2</v>
          </cell>
          <cell r="P332">
            <v>1.510674E-2</v>
          </cell>
        </row>
        <row r="333">
          <cell r="A333" t="str">
            <v>CR.USD.MUNI.TAXABLE.AA.SPRD.PAR#2Y</v>
          </cell>
          <cell r="B333" t="str">
            <v>UNITED STATES MUNI TAXABLE AA 2Y PAR SPREAD OVER GOVT</v>
          </cell>
          <cell r="C333" t="str">
            <v>Credit Spread Risk</v>
          </cell>
          <cell r="D333">
            <v>1</v>
          </cell>
          <cell r="E333" t="str">
            <v>N/A</v>
          </cell>
          <cell r="F333" t="str">
            <v>Decimal</v>
          </cell>
          <cell r="G333">
            <v>1.59041E-3</v>
          </cell>
          <cell r="H333">
            <v>1.62969E-3</v>
          </cell>
          <cell r="I333">
            <v>1.406659E-2</v>
          </cell>
          <cell r="J333">
            <v>1.1872489999999999E-2</v>
          </cell>
          <cell r="K333">
            <v>1.144153E-2</v>
          </cell>
          <cell r="L333">
            <v>1.053425E-2</v>
          </cell>
          <cell r="M333">
            <v>1.0041960000000001E-2</v>
          </cell>
          <cell r="N333">
            <v>9.7291700000000005E-3</v>
          </cell>
          <cell r="O333">
            <v>8.2554900000000007E-3</v>
          </cell>
          <cell r="P333">
            <v>8.3074199999999994E-3</v>
          </cell>
        </row>
        <row r="334">
          <cell r="A334" t="str">
            <v>CR.USD.MUNI.TAXABLE.AA.SPRD.PAR#30Y</v>
          </cell>
          <cell r="B334" t="str">
            <v>UNITED STATES MUNI TAXABLE AA 30Y PAR SPREAD OVER GOVT</v>
          </cell>
          <cell r="C334" t="str">
            <v>Credit Spread Risk</v>
          </cell>
          <cell r="D334">
            <v>1</v>
          </cell>
          <cell r="E334" t="str">
            <v>N/A</v>
          </cell>
          <cell r="F334" t="str">
            <v>Decimal</v>
          </cell>
          <cell r="G334">
            <v>1.1296280000000001E-2</v>
          </cell>
          <cell r="H334">
            <v>1.142234E-2</v>
          </cell>
          <cell r="I334">
            <v>2.37897E-2</v>
          </cell>
          <cell r="J334">
            <v>2.2213960000000001E-2</v>
          </cell>
          <cell r="K334">
            <v>2.1371270000000001E-2</v>
          </cell>
          <cell r="L334">
            <v>2.046241E-2</v>
          </cell>
          <cell r="M334">
            <v>1.96951E-2</v>
          </cell>
          <cell r="N334">
            <v>1.8968479999999999E-2</v>
          </cell>
          <cell r="O334">
            <v>1.7470260000000001E-2</v>
          </cell>
          <cell r="P334">
            <v>1.6912300000000002E-2</v>
          </cell>
        </row>
        <row r="335">
          <cell r="A335" t="str">
            <v>CR.USD.MUNI.TAXABLE.AA.SPRD.PAR#3Y</v>
          </cell>
          <cell r="B335" t="str">
            <v>UNITED STATES MUNI TAXABLE AA 3Y PAR SPREAD OVER GOVT</v>
          </cell>
          <cell r="C335" t="str">
            <v>Credit Spread Risk</v>
          </cell>
          <cell r="D335">
            <v>1</v>
          </cell>
          <cell r="E335" t="str">
            <v>N/A</v>
          </cell>
          <cell r="F335" t="str">
            <v>Decimal</v>
          </cell>
          <cell r="G335">
            <v>2.15445E-3</v>
          </cell>
          <cell r="H335">
            <v>2.48344E-3</v>
          </cell>
          <cell r="I335">
            <v>1.5208859999999999E-2</v>
          </cell>
          <cell r="J335">
            <v>1.338372E-2</v>
          </cell>
          <cell r="K335">
            <v>1.327968E-2</v>
          </cell>
          <cell r="L335">
            <v>1.2182729999999999E-2</v>
          </cell>
          <cell r="M335">
            <v>1.137269E-2</v>
          </cell>
          <cell r="N335">
            <v>1.056908E-2</v>
          </cell>
          <cell r="O335">
            <v>8.4419899999999999E-3</v>
          </cell>
          <cell r="P335">
            <v>8.5331499999999998E-3</v>
          </cell>
        </row>
        <row r="336">
          <cell r="A336" t="str">
            <v>CR.USD.MUNI.TAXABLE.AA.SPRD.PAR#5Y</v>
          </cell>
          <cell r="B336" t="str">
            <v>UNITED STATES MUNI TAXABLE AA 5Y PAR SPREAD OVER GOVT</v>
          </cell>
          <cell r="C336" t="str">
            <v>Credit Spread Risk</v>
          </cell>
          <cell r="D336">
            <v>1</v>
          </cell>
          <cell r="E336" t="str">
            <v>N/A</v>
          </cell>
          <cell r="F336" t="str">
            <v>Decimal</v>
          </cell>
          <cell r="G336">
            <v>4.0128100000000003E-3</v>
          </cell>
          <cell r="H336">
            <v>4.2551100000000003E-3</v>
          </cell>
          <cell r="I336">
            <v>1.6765789999999999E-2</v>
          </cell>
          <cell r="J336">
            <v>1.4782719999999999E-2</v>
          </cell>
          <cell r="K336">
            <v>1.4407059999999999E-2</v>
          </cell>
          <cell r="L336">
            <v>1.3591489999999999E-2</v>
          </cell>
          <cell r="M336">
            <v>1.3019289999999999E-2</v>
          </cell>
          <cell r="N336">
            <v>1.240702E-2</v>
          </cell>
          <cell r="O336">
            <v>1.0436559999999999E-2</v>
          </cell>
          <cell r="P336">
            <v>1.0478110000000001E-2</v>
          </cell>
        </row>
        <row r="337">
          <cell r="A337" t="str">
            <v>CR.USD.MUNI.TAXABLE.AA.SPRD.PAR#7Y</v>
          </cell>
          <cell r="B337" t="str">
            <v>UNITED STATES MUNI TAXABLE AA 7Y PAR SPREAD OVER GOVT</v>
          </cell>
          <cell r="C337" t="str">
            <v>Credit Spread Risk</v>
          </cell>
          <cell r="D337">
            <v>1</v>
          </cell>
          <cell r="E337" t="str">
            <v>N/A</v>
          </cell>
          <cell r="F337" t="str">
            <v>Decimal</v>
          </cell>
          <cell r="G337">
            <v>5.80943E-3</v>
          </cell>
          <cell r="H337">
            <v>6.0614800000000002E-3</v>
          </cell>
          <cell r="I337">
            <v>1.878573E-2</v>
          </cell>
          <cell r="J337">
            <v>1.6913339999999999E-2</v>
          </cell>
          <cell r="K337">
            <v>1.651824E-2</v>
          </cell>
          <cell r="L337">
            <v>1.5735329999999999E-2</v>
          </cell>
          <cell r="M337">
            <v>1.515597E-2</v>
          </cell>
          <cell r="N337">
            <v>1.449334E-2</v>
          </cell>
          <cell r="O337">
            <v>1.246065E-2</v>
          </cell>
          <cell r="P337">
            <v>1.252579E-2</v>
          </cell>
        </row>
        <row r="338">
          <cell r="A338" t="str">
            <v>CR.USD.MUNI.TAXABLE.AA.SPRD.SIMPLE#12M</v>
          </cell>
          <cell r="B338" t="str">
            <v>UNITED STATES MUNI TAXABLE AA 12M SIMPLE SPREAD OVER GOVT</v>
          </cell>
          <cell r="C338" t="str">
            <v>Credit Spread Risk</v>
          </cell>
          <cell r="D338">
            <v>1</v>
          </cell>
          <cell r="E338" t="str">
            <v>N/A</v>
          </cell>
          <cell r="F338" t="str">
            <v>Decimal</v>
          </cell>
          <cell r="G338">
            <v>1.9290100000000001E-3</v>
          </cell>
          <cell r="H338">
            <v>2.3822399999999999E-3</v>
          </cell>
          <cell r="I338">
            <v>1.439178E-2</v>
          </cell>
          <cell r="J338">
            <v>1.159103E-2</v>
          </cell>
          <cell r="K338">
            <v>1.0230309999999999E-2</v>
          </cell>
          <cell r="L338">
            <v>8.7639099999999998E-3</v>
          </cell>
          <cell r="M338">
            <v>7.8508999999999992E-3</v>
          </cell>
          <cell r="N338">
            <v>7.3307700000000003E-3</v>
          </cell>
          <cell r="O338">
            <v>5.8768199999999996E-3</v>
          </cell>
          <cell r="P338">
            <v>6.5040699999999998E-3</v>
          </cell>
        </row>
        <row r="339">
          <cell r="A339" t="str">
            <v>CR.USD.MUNI.TAXABLE.AA.SPRD.SIMPLE#1M</v>
          </cell>
          <cell r="B339" t="str">
            <v>UNITED STATES MUNI TAXABLE AA 1M SIMPLE SPREAD OVER GOVT</v>
          </cell>
          <cell r="C339" t="str">
            <v>Credit Spread Risk</v>
          </cell>
          <cell r="D339">
            <v>1</v>
          </cell>
          <cell r="E339" t="str">
            <v>N/A</v>
          </cell>
          <cell r="F339" t="str">
            <v>Decimal</v>
          </cell>
          <cell r="G339">
            <v>1.7786099999999999E-3</v>
          </cell>
          <cell r="H339">
            <v>2.0402699999999998E-3</v>
          </cell>
          <cell r="I339">
            <v>1.448691E-2</v>
          </cell>
          <cell r="J339">
            <v>1.1978809999999999E-2</v>
          </cell>
          <cell r="K339">
            <v>1.249655E-2</v>
          </cell>
          <cell r="L339">
            <v>1.011563E-2</v>
          </cell>
          <cell r="M339">
            <v>7.4290600000000004E-3</v>
          </cell>
          <cell r="N339">
            <v>5.1550199999999997E-3</v>
          </cell>
          <cell r="O339">
            <v>4.5410399999999997E-3</v>
          </cell>
          <cell r="P339">
            <v>4.9386400000000002E-3</v>
          </cell>
        </row>
        <row r="340">
          <cell r="A340" t="str">
            <v>CR.USD.MUNI.TAXABLE.AA.SPRD.SIMPLE#3M</v>
          </cell>
          <cell r="B340" t="str">
            <v>UNITED STATES MUNI TAXABLE AA 3M SIMPLE SPREAD OVER GOVT</v>
          </cell>
          <cell r="C340" t="str">
            <v>Credit Spread Risk</v>
          </cell>
          <cell r="D340">
            <v>1</v>
          </cell>
          <cell r="E340" t="str">
            <v>N/A</v>
          </cell>
          <cell r="F340" t="str">
            <v>Decimal</v>
          </cell>
          <cell r="G340">
            <v>1.72697E-3</v>
          </cell>
          <cell r="H340">
            <v>2.0716200000000001E-3</v>
          </cell>
          <cell r="I340">
            <v>1.44969E-2</v>
          </cell>
          <cell r="J340">
            <v>1.1596810000000001E-2</v>
          </cell>
          <cell r="K340">
            <v>1.2112879999999999E-2</v>
          </cell>
          <cell r="L340">
            <v>9.5516300000000002E-3</v>
          </cell>
          <cell r="M340">
            <v>7.0702400000000002E-3</v>
          </cell>
          <cell r="N340">
            <v>4.8821100000000003E-3</v>
          </cell>
          <cell r="O340">
            <v>4.6772300000000001E-3</v>
          </cell>
          <cell r="P340">
            <v>4.8856799999999999E-3</v>
          </cell>
        </row>
        <row r="341">
          <cell r="A341" t="str">
            <v>CR.USD.MUNI.TAXABLE.AA.SPRD.SIMPLE#6M</v>
          </cell>
          <cell r="B341" t="str">
            <v>UNITED STATES MUNI TAXABLE AA 6M SIMPLE SPREAD OVER GOVT</v>
          </cell>
          <cell r="C341" t="str">
            <v>Credit Spread Risk</v>
          </cell>
          <cell r="D341">
            <v>1</v>
          </cell>
          <cell r="E341" t="str">
            <v>N/A</v>
          </cell>
          <cell r="F341" t="str">
            <v>Decimal</v>
          </cell>
          <cell r="G341">
            <v>1.8410099999999999E-3</v>
          </cell>
          <cell r="H341">
            <v>2.2570300000000001E-3</v>
          </cell>
          <cell r="I341">
            <v>1.420595E-2</v>
          </cell>
          <cell r="J341">
            <v>1.226618E-2</v>
          </cell>
          <cell r="K341">
            <v>1.145706E-2</v>
          </cell>
          <cell r="L341">
            <v>8.8733500000000003E-3</v>
          </cell>
          <cell r="M341">
            <v>6.6425800000000004E-3</v>
          </cell>
          <cell r="N341">
            <v>6.1810099999999998E-3</v>
          </cell>
          <cell r="O341">
            <v>4.9312000000000002E-3</v>
          </cell>
          <cell r="P341">
            <v>5.3898000000000001E-3</v>
          </cell>
        </row>
        <row r="342">
          <cell r="A342" t="str">
            <v>CR.USD.MUNI.TAXABLE.AAA.SPRD.PAR#10Y</v>
          </cell>
          <cell r="B342" t="str">
            <v>UNITED STATES MUNI TAXABLE AAA 10Y PAR SPREAD OVER GOVT</v>
          </cell>
          <cell r="C342" t="str">
            <v>Credit Spread Risk</v>
          </cell>
          <cell r="D342">
            <v>1</v>
          </cell>
          <cell r="E342" t="str">
            <v>N/A</v>
          </cell>
          <cell r="F342" t="str">
            <v>Decimal</v>
          </cell>
          <cell r="G342">
            <v>4.53383E-3</v>
          </cell>
          <cell r="H342">
            <v>4.7476599999999999E-3</v>
          </cell>
          <cell r="I342">
            <v>1.5524960000000001E-2</v>
          </cell>
          <cell r="J342">
            <v>1.39892E-2</v>
          </cell>
          <cell r="K342">
            <v>1.371289E-2</v>
          </cell>
          <cell r="L342">
            <v>1.291575E-2</v>
          </cell>
          <cell r="M342">
            <v>1.219515E-2</v>
          </cell>
          <cell r="N342">
            <v>1.130105E-2</v>
          </cell>
          <cell r="O342">
            <v>9.0307100000000008E-3</v>
          </cell>
          <cell r="P342">
            <v>8.9787700000000005E-3</v>
          </cell>
        </row>
        <row r="343">
          <cell r="A343" t="str">
            <v>CR.USD.MUNI.TAXABLE.AAA.SPRD.PAR#15Y</v>
          </cell>
          <cell r="B343" t="str">
            <v>UNITED STATES MUNI TAXABLE AAA 15Y PAR SPREAD OVER GOVT</v>
          </cell>
          <cell r="C343" t="str">
            <v>Credit Spread Risk</v>
          </cell>
          <cell r="D343">
            <v>1</v>
          </cell>
          <cell r="E343" t="str">
            <v>N/A</v>
          </cell>
          <cell r="F343" t="str">
            <v>Decimal</v>
          </cell>
          <cell r="G343">
            <v>6.4858700000000004E-3</v>
          </cell>
          <cell r="H343">
            <v>6.6283399999999999E-3</v>
          </cell>
          <cell r="I343">
            <v>1.6744510000000001E-2</v>
          </cell>
          <cell r="J343">
            <v>1.53799E-2</v>
          </cell>
          <cell r="K343">
            <v>1.474191E-2</v>
          </cell>
          <cell r="L343">
            <v>1.3746059999999999E-2</v>
          </cell>
          <cell r="M343">
            <v>1.2812759999999999E-2</v>
          </cell>
          <cell r="N343">
            <v>1.182622E-2</v>
          </cell>
          <cell r="O343">
            <v>1.010841E-2</v>
          </cell>
          <cell r="P343">
            <v>9.8040799999999997E-3</v>
          </cell>
        </row>
        <row r="344">
          <cell r="A344" t="str">
            <v>CR.USD.MUNI.TAXABLE.AAA.SPRD.PAR#20Y</v>
          </cell>
          <cell r="B344" t="str">
            <v>UNITED STATES MUNI TAXABLE AAA 20Y PAR SPREAD OVER GOVT</v>
          </cell>
          <cell r="C344" t="str">
            <v>Credit Spread Risk</v>
          </cell>
          <cell r="D344">
            <v>1</v>
          </cell>
          <cell r="E344" t="str">
            <v>N/A</v>
          </cell>
          <cell r="F344" t="str">
            <v>Decimal</v>
          </cell>
          <cell r="G344">
            <v>6.9492E-3</v>
          </cell>
          <cell r="H344">
            <v>7.0419499999999999E-3</v>
          </cell>
          <cell r="I344">
            <v>1.6660339999999999E-2</v>
          </cell>
          <cell r="J344">
            <v>1.5121890000000001E-2</v>
          </cell>
          <cell r="K344">
            <v>1.426032E-2</v>
          </cell>
          <cell r="L344">
            <v>1.315905E-2</v>
          </cell>
          <cell r="M344">
            <v>1.214601E-2</v>
          </cell>
          <cell r="N344">
            <v>1.114281E-2</v>
          </cell>
          <cell r="O344">
            <v>9.6345400000000005E-3</v>
          </cell>
          <cell r="P344">
            <v>9.3074899999999999E-3</v>
          </cell>
        </row>
        <row r="345">
          <cell r="A345" t="str">
            <v>CR.USD.MUNI.TAXABLE.AAA.SPRD.PAR#2Y</v>
          </cell>
          <cell r="B345" t="str">
            <v>UNITED STATES MUNI TAXABLE AAA 2Y PAR SPREAD OVER GOVT</v>
          </cell>
          <cell r="C345" t="str">
            <v>Credit Spread Risk</v>
          </cell>
          <cell r="D345">
            <v>1</v>
          </cell>
          <cell r="E345" t="str">
            <v>N/A</v>
          </cell>
          <cell r="F345" t="str">
            <v>Decimal</v>
          </cell>
          <cell r="G345">
            <v>1.2812399999999999E-3</v>
          </cell>
          <cell r="H345">
            <v>1.59121E-3</v>
          </cell>
          <cell r="I345">
            <v>1.263598E-2</v>
          </cell>
          <cell r="J345">
            <v>1.056849E-2</v>
          </cell>
          <cell r="K345">
            <v>1.0090129999999999E-2</v>
          </cell>
          <cell r="L345">
            <v>8.9517299999999998E-3</v>
          </cell>
          <cell r="M345">
            <v>8.1434699999999999E-3</v>
          </cell>
          <cell r="N345">
            <v>7.4574699999999999E-3</v>
          </cell>
          <cell r="O345">
            <v>5.6403599999999996E-3</v>
          </cell>
          <cell r="P345">
            <v>5.4546999999999998E-3</v>
          </cell>
        </row>
        <row r="346">
          <cell r="A346" t="str">
            <v>CR.USD.MUNI.TAXABLE.AAA.SPRD.PAR#30Y</v>
          </cell>
          <cell r="B346" t="str">
            <v>UNITED STATES MUNI TAXABLE AAA 30Y PAR SPREAD OVER GOVT</v>
          </cell>
          <cell r="C346" t="str">
            <v>Credit Spread Risk</v>
          </cell>
          <cell r="D346">
            <v>1</v>
          </cell>
          <cell r="E346" t="str">
            <v>N/A</v>
          </cell>
          <cell r="F346" t="str">
            <v>Decimal</v>
          </cell>
          <cell r="G346">
            <v>7.7865699999999996E-3</v>
          </cell>
          <cell r="H346">
            <v>7.9060899999999993E-3</v>
          </cell>
          <cell r="I346">
            <v>1.753161E-2</v>
          </cell>
          <cell r="J346">
            <v>1.6310290000000002E-2</v>
          </cell>
          <cell r="K346">
            <v>1.580351E-2</v>
          </cell>
          <cell r="L346">
            <v>1.4992719999999999E-2</v>
          </cell>
          <cell r="M346">
            <v>1.422854E-2</v>
          </cell>
          <cell r="N346">
            <v>1.340823E-2</v>
          </cell>
          <cell r="O346">
            <v>1.173591E-2</v>
          </cell>
          <cell r="P346">
            <v>1.137122E-2</v>
          </cell>
        </row>
        <row r="347">
          <cell r="A347" t="str">
            <v>CR.USD.MUNI.TAXABLE.AAA.SPRD.PAR#3Y</v>
          </cell>
          <cell r="B347" t="str">
            <v>UNITED STATES MUNI TAXABLE AAA 3Y PAR SPREAD OVER GOVT</v>
          </cell>
          <cell r="C347" t="str">
            <v>Credit Spread Risk</v>
          </cell>
          <cell r="D347">
            <v>1</v>
          </cell>
          <cell r="E347" t="str">
            <v>N/A</v>
          </cell>
          <cell r="F347" t="str">
            <v>Decimal</v>
          </cell>
          <cell r="G347">
            <v>1.4055199999999999E-3</v>
          </cell>
          <cell r="H347">
            <v>1.93611E-3</v>
          </cell>
          <cell r="I347">
            <v>1.3213219999999999E-2</v>
          </cell>
          <cell r="J347">
            <v>1.145121E-2</v>
          </cell>
          <cell r="K347">
            <v>1.124262E-2</v>
          </cell>
          <cell r="L347">
            <v>9.9164000000000006E-3</v>
          </cell>
          <cell r="M347">
            <v>8.8022099999999995E-3</v>
          </cell>
          <cell r="N347">
            <v>7.6488199999999998E-3</v>
          </cell>
          <cell r="O347">
            <v>5.2142600000000001E-3</v>
          </cell>
          <cell r="P347">
            <v>5.1242099999999997E-3</v>
          </cell>
        </row>
        <row r="348">
          <cell r="A348" t="str">
            <v>CR.USD.MUNI.TAXABLE.AAA.SPRD.PAR#5Y</v>
          </cell>
          <cell r="B348" t="str">
            <v>UNITED STATES MUNI TAXABLE AAA 5Y PAR SPREAD OVER GOVT</v>
          </cell>
          <cell r="C348" t="str">
            <v>Credit Spread Risk</v>
          </cell>
          <cell r="D348">
            <v>1</v>
          </cell>
          <cell r="E348" t="str">
            <v>N/A</v>
          </cell>
          <cell r="F348" t="str">
            <v>Decimal</v>
          </cell>
          <cell r="G348">
            <v>2.1584799999999999E-3</v>
          </cell>
          <cell r="H348">
            <v>2.59187E-3</v>
          </cell>
          <cell r="I348">
            <v>1.3674810000000001E-2</v>
          </cell>
          <cell r="J348">
            <v>1.17591E-2</v>
          </cell>
          <cell r="K348">
            <v>1.130305E-2</v>
          </cell>
          <cell r="L348">
            <v>1.0296700000000001E-2</v>
          </cell>
          <cell r="M348">
            <v>9.4704100000000003E-3</v>
          </cell>
          <cell r="N348">
            <v>8.5711299999999997E-3</v>
          </cell>
          <cell r="O348">
            <v>6.3745099999999999E-3</v>
          </cell>
          <cell r="P348">
            <v>6.3093200000000002E-3</v>
          </cell>
        </row>
        <row r="349">
          <cell r="A349" t="str">
            <v>CR.USD.MUNI.TAXABLE.AAA.SPRD.PAR#7Y</v>
          </cell>
          <cell r="B349" t="str">
            <v>UNITED STATES MUNI TAXABLE AAA 7Y PAR SPREAD OVER GOVT</v>
          </cell>
          <cell r="C349" t="str">
            <v>Credit Spread Risk</v>
          </cell>
          <cell r="D349">
            <v>1</v>
          </cell>
          <cell r="E349" t="str">
            <v>N/A</v>
          </cell>
          <cell r="F349" t="str">
            <v>Decimal</v>
          </cell>
          <cell r="G349">
            <v>3.11174E-3</v>
          </cell>
          <cell r="H349">
            <v>3.43831E-3</v>
          </cell>
          <cell r="I349">
            <v>1.438646E-2</v>
          </cell>
          <cell r="J349">
            <v>1.264465E-2</v>
          </cell>
          <cell r="K349">
            <v>1.228579E-2</v>
          </cell>
          <cell r="L349">
            <v>1.1397040000000001E-2</v>
          </cell>
          <cell r="M349">
            <v>1.0639590000000001E-2</v>
          </cell>
          <cell r="N349">
            <v>9.7502999999999999E-3</v>
          </cell>
          <cell r="O349">
            <v>7.5083700000000003E-3</v>
          </cell>
          <cell r="P349">
            <v>7.5486599999999996E-3</v>
          </cell>
        </row>
        <row r="350">
          <cell r="A350" t="str">
            <v>CR.USD.MUNI.TAXABLE.AAA.SPRD.SIMPLE#12M</v>
          </cell>
          <cell r="B350" t="str">
            <v>UNITED STATES MUNI TAXABLE AAA 12M SIMPLE SPREAD OVER GOVT</v>
          </cell>
          <cell r="C350" t="str">
            <v>Credit Spread Risk</v>
          </cell>
          <cell r="D350">
            <v>1</v>
          </cell>
          <cell r="E350" t="str">
            <v>N/A</v>
          </cell>
          <cell r="F350" t="str">
            <v>Decimal</v>
          </cell>
          <cell r="G350">
            <v>1.65485E-3</v>
          </cell>
          <cell r="H350">
            <v>2.3822399999999999E-3</v>
          </cell>
          <cell r="I350">
            <v>1.327156E-2</v>
          </cell>
          <cell r="J350">
            <v>1.0760789999999999E-2</v>
          </cell>
          <cell r="K350">
            <v>9.5435999999999993E-3</v>
          </cell>
          <cell r="L350">
            <v>7.8905399999999997E-3</v>
          </cell>
          <cell r="M350">
            <v>6.6900900000000001E-3</v>
          </cell>
          <cell r="N350">
            <v>5.80943E-3</v>
          </cell>
          <cell r="O350">
            <v>4.0068899999999999E-3</v>
          </cell>
          <cell r="P350">
            <v>4.3765899999999996E-3</v>
          </cell>
        </row>
        <row r="351">
          <cell r="A351" t="str">
            <v>CR.USD.MUNI.TAXABLE.AAA.SPRD.SIMPLE#1M</v>
          </cell>
          <cell r="B351" t="str">
            <v>UNITED STATES MUNI TAXABLE AAA 1M SIMPLE SPREAD OVER GOVT</v>
          </cell>
          <cell r="C351" t="str">
            <v>Credit Spread Risk</v>
          </cell>
          <cell r="D351">
            <v>1</v>
          </cell>
          <cell r="E351" t="str">
            <v>N/A</v>
          </cell>
          <cell r="F351" t="str">
            <v>Decimal</v>
          </cell>
          <cell r="G351">
            <v>1.5045900000000001E-3</v>
          </cell>
          <cell r="H351">
            <v>2.0402699999999998E-3</v>
          </cell>
          <cell r="I351">
            <v>1.3389649999999999E-2</v>
          </cell>
          <cell r="J351">
            <v>1.118826E-2</v>
          </cell>
          <cell r="K351">
            <v>1.183699E-2</v>
          </cell>
          <cell r="L351">
            <v>9.5027400000000008E-3</v>
          </cell>
          <cell r="M351">
            <v>6.8088300000000001E-3</v>
          </cell>
          <cell r="N351">
            <v>4.5075599999999999E-3</v>
          </cell>
          <cell r="O351">
            <v>3.0734999999999998E-3</v>
          </cell>
          <cell r="P351">
            <v>3.3236799999999999E-3</v>
          </cell>
        </row>
        <row r="352">
          <cell r="A352" t="str">
            <v>CR.USD.MUNI.TAXABLE.AAA.SPRD.SIMPLE#3M</v>
          </cell>
          <cell r="B352" t="str">
            <v>UNITED STATES MUNI TAXABLE AAA 3M SIMPLE SPREAD OVER GOVT</v>
          </cell>
          <cell r="C352" t="str">
            <v>Credit Spread Risk</v>
          </cell>
          <cell r="D352">
            <v>1</v>
          </cell>
          <cell r="E352" t="str">
            <v>N/A</v>
          </cell>
          <cell r="F352" t="str">
            <v>Decimal</v>
          </cell>
          <cell r="G352">
            <v>1.4529499999999999E-3</v>
          </cell>
          <cell r="H352">
            <v>2.0716200000000001E-3</v>
          </cell>
          <cell r="I352">
            <v>1.3399629999999999E-2</v>
          </cell>
          <cell r="J352">
            <v>1.080654E-2</v>
          </cell>
          <cell r="K352">
            <v>1.14483E-2</v>
          </cell>
          <cell r="L352">
            <v>8.9339799999999994E-3</v>
          </cell>
          <cell r="M352">
            <v>6.4449900000000003E-3</v>
          </cell>
          <cell r="N352">
            <v>4.2297200000000002E-3</v>
          </cell>
          <cell r="O352">
            <v>3.13634E-3</v>
          </cell>
          <cell r="P352">
            <v>3.2005599999999999E-3</v>
          </cell>
        </row>
        <row r="353">
          <cell r="A353" t="str">
            <v>CR.USD.MUNI.TAXABLE.AAA.SPRD.SIMPLE#6M</v>
          </cell>
          <cell r="B353" t="str">
            <v>UNITED STATES MUNI TAXABLE AAA 6M SIMPLE SPREAD OVER GOVT</v>
          </cell>
          <cell r="C353" t="str">
            <v>Credit Spread Risk</v>
          </cell>
          <cell r="D353">
            <v>1</v>
          </cell>
          <cell r="E353" t="str">
            <v>N/A</v>
          </cell>
          <cell r="F353" t="str">
            <v>Decimal</v>
          </cell>
          <cell r="G353">
            <v>1.5669600000000001E-3</v>
          </cell>
          <cell r="H353">
            <v>2.2570300000000001E-3</v>
          </cell>
          <cell r="I353">
            <v>1.310885E-2</v>
          </cell>
          <cell r="J353">
            <v>1.1456630000000001E-2</v>
          </cell>
          <cell r="K353">
            <v>1.078528E-2</v>
          </cell>
          <cell r="L353">
            <v>8.2483399999999998E-3</v>
          </cell>
          <cell r="M353">
            <v>6.0098699999999996E-3</v>
          </cell>
          <cell r="N353">
            <v>5.0568899999999996E-3</v>
          </cell>
          <cell r="O353">
            <v>3.2818600000000002E-3</v>
          </cell>
          <cell r="P353">
            <v>3.5946900000000002E-3</v>
          </cell>
        </row>
        <row r="354">
          <cell r="A354" t="str">
            <v>CR.USD.MUNI.TAXABLE.B.SPRD.PAR#10Y</v>
          </cell>
          <cell r="B354" t="str">
            <v>UNITED STATES MUNI TAXABLE B 10Y PAR SPREAD OVER GOVT</v>
          </cell>
          <cell r="C354" t="str">
            <v>Credit Spread Risk</v>
          </cell>
          <cell r="D354">
            <v>1</v>
          </cell>
          <cell r="E354" t="str">
            <v>N/A</v>
          </cell>
          <cell r="F354" t="str">
            <v>Decimal</v>
          </cell>
          <cell r="G354">
            <v>5.0176890000000002E-2</v>
          </cell>
          <cell r="H354">
            <v>4.9989150000000003E-2</v>
          </cell>
          <cell r="I354">
            <v>0.10811833999999999</v>
          </cell>
          <cell r="J354">
            <v>0.10191893</v>
          </cell>
          <cell r="K354">
            <v>0.10084537</v>
          </cell>
          <cell r="L354">
            <v>9.914982E-2</v>
          </cell>
          <cell r="M354">
            <v>9.7919010000000001E-2</v>
          </cell>
          <cell r="N354">
            <v>9.5816769999999996E-2</v>
          </cell>
          <cell r="O354">
            <v>8.6572460000000004E-2</v>
          </cell>
          <cell r="P354">
            <v>8.3786780000000005E-2</v>
          </cell>
        </row>
        <row r="355">
          <cell r="A355" t="str">
            <v>CR.USD.MUNI.TAXABLE.B.SPRD.PAR#15Y</v>
          </cell>
          <cell r="B355" t="str">
            <v>UNITED STATES MUNI TAXABLE B 15Y PAR SPREAD OVER GOVT</v>
          </cell>
          <cell r="C355" t="str">
            <v>Credit Spread Risk</v>
          </cell>
          <cell r="D355">
            <v>1</v>
          </cell>
          <cell r="E355" t="str">
            <v>N/A</v>
          </cell>
          <cell r="F355" t="str">
            <v>Decimal</v>
          </cell>
          <cell r="G355">
            <v>4.9920600000000002E-2</v>
          </cell>
          <cell r="H355">
            <v>4.9676030000000003E-2</v>
          </cell>
          <cell r="I355">
            <v>0.10509439</v>
          </cell>
          <cell r="J355">
            <v>9.9025929999999998E-2</v>
          </cell>
          <cell r="K355">
            <v>9.7901039999999995E-2</v>
          </cell>
          <cell r="L355">
            <v>9.6123600000000003E-2</v>
          </cell>
          <cell r="M355">
            <v>9.4713350000000002E-2</v>
          </cell>
          <cell r="N355">
            <v>9.2451130000000006E-2</v>
          </cell>
          <cell r="O355">
            <v>8.3440260000000002E-2</v>
          </cell>
          <cell r="P355">
            <v>8.0724039999999997E-2</v>
          </cell>
        </row>
        <row r="356">
          <cell r="A356" t="str">
            <v>CR.USD.MUNI.TAXABLE.B.SPRD.PAR#20Y</v>
          </cell>
          <cell r="B356" t="str">
            <v>UNITED STATES MUNI TAXABLE B 20Y PAR SPREAD OVER GOVT</v>
          </cell>
          <cell r="C356" t="str">
            <v>Credit Spread Risk</v>
          </cell>
          <cell r="D356">
            <v>1</v>
          </cell>
          <cell r="E356" t="str">
            <v>N/A</v>
          </cell>
          <cell r="F356" t="str">
            <v>Decimal</v>
          </cell>
          <cell r="G356">
            <v>4.9059390000000001E-2</v>
          </cell>
          <cell r="H356">
            <v>4.8736380000000003E-2</v>
          </cell>
          <cell r="I356">
            <v>0.10342030000000001</v>
          </cell>
          <cell r="J356">
            <v>9.7335240000000003E-2</v>
          </cell>
          <cell r="K356">
            <v>9.623437E-2</v>
          </cell>
          <cell r="L356">
            <v>9.4503580000000004E-2</v>
          </cell>
          <cell r="M356">
            <v>9.3090419999999993E-2</v>
          </cell>
          <cell r="N356">
            <v>9.08355E-2</v>
          </cell>
          <cell r="O356">
            <v>8.1844040000000007E-2</v>
          </cell>
          <cell r="P356">
            <v>7.9110570000000005E-2</v>
          </cell>
        </row>
        <row r="357">
          <cell r="A357" t="str">
            <v>CR.USD.MUNI.TAXABLE.B.SPRD.PAR#2Y</v>
          </cell>
          <cell r="B357" t="str">
            <v>UNITED STATES MUNI TAXABLE B 2Y PAR SPREAD OVER GOVT</v>
          </cell>
          <cell r="C357" t="str">
            <v>Credit Spread Risk</v>
          </cell>
          <cell r="D357">
            <v>1</v>
          </cell>
          <cell r="E357" t="str">
            <v>N/A</v>
          </cell>
          <cell r="F357" t="str">
            <v>Decimal</v>
          </cell>
          <cell r="G357">
            <v>5.1541150000000001E-2</v>
          </cell>
          <cell r="H357">
            <v>5.1340770000000001E-2</v>
          </cell>
          <cell r="I357">
            <v>0.11389489999999999</v>
          </cell>
          <cell r="J357">
            <v>0.10716455</v>
          </cell>
          <cell r="K357">
            <v>0.10536155</v>
          </cell>
          <cell r="L357">
            <v>0.10312830000000001</v>
          </cell>
          <cell r="M357">
            <v>0.101801</v>
          </cell>
          <cell r="N357">
            <v>0.10003204</v>
          </cell>
          <cell r="O357">
            <v>9.1967800000000002E-2</v>
          </cell>
          <cell r="P357">
            <v>8.8738079999999997E-2</v>
          </cell>
        </row>
        <row r="358">
          <cell r="A358" t="str">
            <v>CR.USD.MUNI.TAXABLE.B.SPRD.PAR#30Y</v>
          </cell>
          <cell r="B358" t="str">
            <v>UNITED STATES MUNI TAXABLE B 30Y PAR SPREAD OVER GOVT</v>
          </cell>
          <cell r="C358" t="str">
            <v>Credit Spread Risk</v>
          </cell>
          <cell r="D358">
            <v>1</v>
          </cell>
          <cell r="E358" t="str">
            <v>N/A</v>
          </cell>
          <cell r="F358" t="str">
            <v>Decimal</v>
          </cell>
          <cell r="G358">
            <v>4.8513170000000001E-2</v>
          </cell>
          <cell r="H358">
            <v>4.8134080000000003E-2</v>
          </cell>
          <cell r="I358">
            <v>0.10215218</v>
          </cell>
          <cell r="J358">
            <v>9.6156420000000006E-2</v>
          </cell>
          <cell r="K358">
            <v>9.5218029999999995E-2</v>
          </cell>
          <cell r="L358">
            <v>9.3663419999999997E-2</v>
          </cell>
          <cell r="M358">
            <v>9.2365669999999997E-2</v>
          </cell>
          <cell r="N358">
            <v>9.0231510000000001E-2</v>
          </cell>
          <cell r="O358">
            <v>8.1241930000000004E-2</v>
          </cell>
          <cell r="P358">
            <v>7.8466480000000005E-2</v>
          </cell>
        </row>
        <row r="359">
          <cell r="A359" t="str">
            <v>CR.USD.MUNI.TAXABLE.B.SPRD.PAR#3Y</v>
          </cell>
          <cell r="B359" t="str">
            <v>UNITED STATES MUNI TAXABLE B 3Y PAR SPREAD OVER GOVT</v>
          </cell>
          <cell r="C359" t="str">
            <v>Credit Spread Risk</v>
          </cell>
          <cell r="D359">
            <v>1</v>
          </cell>
          <cell r="E359" t="str">
            <v>N/A</v>
          </cell>
          <cell r="F359" t="str">
            <v>Decimal</v>
          </cell>
          <cell r="G359">
            <v>5.1285879999999999E-2</v>
          </cell>
          <cell r="H359">
            <v>5.121962E-2</v>
          </cell>
          <cell r="I359">
            <v>0.1138069</v>
          </cell>
          <cell r="J359">
            <v>0.10735746</v>
          </cell>
          <cell r="K359">
            <v>0.10576693</v>
          </cell>
          <cell r="L359">
            <v>0.10333889</v>
          </cell>
          <cell r="M359">
            <v>0.10171864</v>
          </cell>
          <cell r="N359">
            <v>9.950341E-2</v>
          </cell>
          <cell r="O359">
            <v>9.0838450000000001E-2</v>
          </cell>
          <cell r="P359">
            <v>8.7679670000000001E-2</v>
          </cell>
        </row>
        <row r="360">
          <cell r="A360" t="str">
            <v>CR.USD.MUNI.TAXABLE.B.SPRD.PAR#5Y</v>
          </cell>
          <cell r="B360" t="str">
            <v>UNITED STATES MUNI TAXABLE B 5Y PAR SPREAD OVER GOVT</v>
          </cell>
          <cell r="C360" t="str">
            <v>Credit Spread Risk</v>
          </cell>
          <cell r="D360">
            <v>1</v>
          </cell>
          <cell r="E360" t="str">
            <v>N/A</v>
          </cell>
          <cell r="F360" t="str">
            <v>Decimal</v>
          </cell>
          <cell r="G360">
            <v>5.080577E-2</v>
          </cell>
          <cell r="H360">
            <v>5.0560090000000002E-2</v>
          </cell>
          <cell r="I360">
            <v>0.11265077</v>
          </cell>
          <cell r="J360">
            <v>0.10606529000000001</v>
          </cell>
          <cell r="K360">
            <v>0.10427187</v>
          </cell>
          <cell r="L360">
            <v>0.10217526</v>
          </cell>
          <cell r="M360">
            <v>0.10081492</v>
          </cell>
          <cell r="N360">
            <v>9.8830429999999997E-2</v>
          </cell>
          <cell r="O360">
            <v>9.0322849999999996E-2</v>
          </cell>
          <cell r="P360">
            <v>8.7149180000000007E-2</v>
          </cell>
        </row>
        <row r="361">
          <cell r="A361" t="str">
            <v>CR.USD.MUNI.TAXABLE.B.SPRD.PAR#7Y</v>
          </cell>
          <cell r="B361" t="str">
            <v>UNITED STATES MUNI TAXABLE B 7Y PAR SPREAD OVER GOVT</v>
          </cell>
          <cell r="C361" t="str">
            <v>Credit Spread Risk</v>
          </cell>
          <cell r="D361">
            <v>1</v>
          </cell>
          <cell r="E361" t="str">
            <v>N/A</v>
          </cell>
          <cell r="F361" t="str">
            <v>Decimal</v>
          </cell>
          <cell r="G361">
            <v>5.0410959999999998E-2</v>
          </cell>
          <cell r="H361">
            <v>5.0154949999999997E-2</v>
          </cell>
          <cell r="I361">
            <v>0.11048953</v>
          </cell>
          <cell r="J361">
            <v>0.10410293</v>
          </cell>
          <cell r="K361">
            <v>0.10265442</v>
          </cell>
          <cell r="L361">
            <v>0.10078086999999999</v>
          </cell>
          <cell r="M361">
            <v>9.9518010000000004E-2</v>
          </cell>
          <cell r="N361">
            <v>9.7512810000000005E-2</v>
          </cell>
          <cell r="O361">
            <v>8.8679670000000002E-2</v>
          </cell>
          <cell r="P361">
            <v>8.5743319999999998E-2</v>
          </cell>
        </row>
        <row r="362">
          <cell r="A362" t="str">
            <v>CR.USD.MUNI.TAXABLE.B.SPRD.SIMPLE#12M</v>
          </cell>
          <cell r="B362" t="str">
            <v>UNITED STATES MUNI TAXABLE B 12M SIMPLE SPREAD OVER GOVT</v>
          </cell>
          <cell r="C362" t="str">
            <v>Credit Spread Risk</v>
          </cell>
          <cell r="D362">
            <v>1</v>
          </cell>
          <cell r="E362" t="str">
            <v>N/A</v>
          </cell>
          <cell r="F362" t="str">
            <v>Decimal</v>
          </cell>
          <cell r="G362">
            <v>5.1116309999999998E-2</v>
          </cell>
          <cell r="H362">
            <v>5.1412399999999997E-2</v>
          </cell>
          <cell r="I362">
            <v>0.11311652</v>
          </cell>
          <cell r="J362">
            <v>0.10612558</v>
          </cell>
          <cell r="K362">
            <v>0.1037622</v>
          </cell>
          <cell r="L362">
            <v>0.10110347</v>
          </cell>
          <cell r="M362">
            <v>9.9447099999999997E-2</v>
          </cell>
          <cell r="N362">
            <v>9.7547999999999996E-2</v>
          </cell>
          <cell r="O362">
            <v>8.9639529999999995E-2</v>
          </cell>
          <cell r="P362">
            <v>8.7026510000000001E-2</v>
          </cell>
        </row>
        <row r="363">
          <cell r="A363" t="str">
            <v>CR.USD.MUNI.TAXABLE.B.SPRD.SIMPLE#1M</v>
          </cell>
          <cell r="B363" t="str">
            <v>UNITED STATES MUNI TAXABLE B 1M SIMPLE SPREAD OVER GOVT</v>
          </cell>
          <cell r="C363" t="str">
            <v>Credit Spread Risk</v>
          </cell>
          <cell r="D363">
            <v>1</v>
          </cell>
          <cell r="E363" t="str">
            <v>N/A</v>
          </cell>
          <cell r="F363" t="str">
            <v>Decimal</v>
          </cell>
          <cell r="G363">
            <v>5.0967190000000002E-2</v>
          </cell>
          <cell r="H363">
            <v>5.1069839999999998E-2</v>
          </cell>
          <cell r="I363">
            <v>0.11320425000000001</v>
          </cell>
          <cell r="J363">
            <v>0.10651592</v>
          </cell>
          <cell r="K363">
            <v>0.10613736999999999</v>
          </cell>
          <cell r="L363">
            <v>0.10298516000000001</v>
          </cell>
          <cell r="M363">
            <v>0.10002800000000001</v>
          </cell>
          <cell r="N363">
            <v>9.6943829999999995E-2</v>
          </cell>
          <cell r="O363">
            <v>8.9055400000000007E-2</v>
          </cell>
          <cell r="P363">
            <v>8.6451810000000004E-2</v>
          </cell>
        </row>
        <row r="364">
          <cell r="A364" t="str">
            <v>CR.USD.MUNI.TAXABLE.B.SPRD.SIMPLE#3M</v>
          </cell>
          <cell r="B364" t="str">
            <v>UNITED STATES MUNI TAXABLE B 3M SIMPLE SPREAD OVER GOVT</v>
          </cell>
          <cell r="C364" t="str">
            <v>Credit Spread Risk</v>
          </cell>
          <cell r="D364">
            <v>1</v>
          </cell>
          <cell r="E364" t="str">
            <v>N/A</v>
          </cell>
          <cell r="F364" t="str">
            <v>Decimal</v>
          </cell>
          <cell r="G364">
            <v>5.0915559999999999E-2</v>
          </cell>
          <cell r="H364">
            <v>5.1097499999999997E-2</v>
          </cell>
          <cell r="I364">
            <v>0.1132075</v>
          </cell>
          <cell r="J364">
            <v>0.1060938</v>
          </cell>
          <cell r="K364">
            <v>0.10574386</v>
          </cell>
          <cell r="L364">
            <v>0.10238483</v>
          </cell>
          <cell r="M364">
            <v>9.966034E-2</v>
          </cell>
          <cell r="N364">
            <v>9.6650539999999993E-2</v>
          </cell>
          <cell r="O364">
            <v>8.9043419999999998E-2</v>
          </cell>
          <cell r="P364">
            <v>8.6220409999999997E-2</v>
          </cell>
        </row>
        <row r="365">
          <cell r="A365" t="str">
            <v>CR.USD.MUNI.TAXABLE.B.SPRD.SIMPLE#6M</v>
          </cell>
          <cell r="B365" t="str">
            <v>UNITED STATES MUNI TAXABLE B 6M SIMPLE SPREAD OVER GOVT</v>
          </cell>
          <cell r="C365" t="str">
            <v>Credit Spread Risk</v>
          </cell>
          <cell r="D365">
            <v>1</v>
          </cell>
          <cell r="E365" t="str">
            <v>N/A</v>
          </cell>
          <cell r="F365" t="str">
            <v>Decimal</v>
          </cell>
          <cell r="G365">
            <v>5.1029289999999998E-2</v>
          </cell>
          <cell r="H365">
            <v>5.1275170000000002E-2</v>
          </cell>
          <cell r="I365">
            <v>0.11289141</v>
          </cell>
          <cell r="J365">
            <v>0.10680679999999999</v>
          </cell>
          <cell r="K365">
            <v>0.10503311999999999</v>
          </cell>
          <cell r="L365">
            <v>0.10167256</v>
          </cell>
          <cell r="M365">
            <v>9.9201239999999996E-2</v>
          </cell>
          <cell r="N365">
            <v>9.7123280000000006E-2</v>
          </cell>
          <cell r="O365">
            <v>8.9094190000000004E-2</v>
          </cell>
          <cell r="P365">
            <v>8.654017E-2</v>
          </cell>
        </row>
        <row r="366">
          <cell r="A366" t="str">
            <v>CR.USD.MUNI.TAXABLE.BB.SPRD.PAR#10Y</v>
          </cell>
          <cell r="B366" t="str">
            <v>UNITED STATES MUNI TAXABLE BB 10Y PAR SPREAD OVER GOVT</v>
          </cell>
          <cell r="C366" t="str">
            <v>Credit Spread Risk</v>
          </cell>
          <cell r="D366">
            <v>1</v>
          </cell>
          <cell r="E366" t="str">
            <v>N/A</v>
          </cell>
          <cell r="F366" t="str">
            <v>Decimal</v>
          </cell>
          <cell r="G366">
            <v>3.1782699999999997E-2</v>
          </cell>
          <cell r="H366">
            <v>3.1662419999999997E-2</v>
          </cell>
          <cell r="I366">
            <v>7.2744829999999996E-2</v>
          </cell>
          <cell r="J366">
            <v>6.8376790000000007E-2</v>
          </cell>
          <cell r="K366">
            <v>6.7663440000000005E-2</v>
          </cell>
          <cell r="L366">
            <v>6.6469760000000003E-2</v>
          </cell>
          <cell r="M366">
            <v>6.5604469999999998E-2</v>
          </cell>
          <cell r="N366">
            <v>6.4117430000000003E-2</v>
          </cell>
          <cell r="O366">
            <v>5.7559850000000003E-2</v>
          </cell>
          <cell r="P366">
            <v>5.5635080000000003E-2</v>
          </cell>
        </row>
        <row r="367">
          <cell r="A367" t="str">
            <v>CR.USD.MUNI.TAXABLE.BB.SPRD.PAR#15Y</v>
          </cell>
          <cell r="B367" t="str">
            <v>UNITED STATES MUNI TAXABLE BB 15Y PAR SPREAD OVER GOVT</v>
          </cell>
          <cell r="C367" t="str">
            <v>Credit Spread Risk</v>
          </cell>
          <cell r="D367">
            <v>1</v>
          </cell>
          <cell r="E367" t="str">
            <v>N/A</v>
          </cell>
          <cell r="F367" t="str">
            <v>Decimal</v>
          </cell>
          <cell r="G367">
            <v>3.1761200000000003E-2</v>
          </cell>
          <cell r="H367">
            <v>3.1589020000000002E-2</v>
          </cell>
          <cell r="I367">
            <v>7.0414930000000001E-2</v>
          </cell>
          <cell r="J367">
            <v>6.6174350000000007E-2</v>
          </cell>
          <cell r="K367">
            <v>6.5394499999999994E-2</v>
          </cell>
          <cell r="L367">
            <v>6.4113660000000003E-2</v>
          </cell>
          <cell r="M367">
            <v>6.3083059999999996E-2</v>
          </cell>
          <cell r="N367">
            <v>6.145188E-2</v>
          </cell>
          <cell r="O367">
            <v>5.5113519999999999E-2</v>
          </cell>
          <cell r="P367">
            <v>5.3235360000000002E-2</v>
          </cell>
        </row>
        <row r="368">
          <cell r="A368" t="str">
            <v>CR.USD.MUNI.TAXABLE.BB.SPRD.PAR#20Y</v>
          </cell>
          <cell r="B368" t="str">
            <v>UNITED STATES MUNI TAXABLE BB 20Y PAR SPREAD OVER GOVT</v>
          </cell>
          <cell r="C368" t="str">
            <v>Credit Spread Risk</v>
          </cell>
          <cell r="D368">
            <v>1</v>
          </cell>
          <cell r="E368" t="str">
            <v>N/A</v>
          </cell>
          <cell r="F368" t="str">
            <v>Decimal</v>
          </cell>
          <cell r="G368">
            <v>3.1051769999999999E-2</v>
          </cell>
          <cell r="H368">
            <v>3.0825450000000001E-2</v>
          </cell>
          <cell r="I368">
            <v>6.9100490000000001E-2</v>
          </cell>
          <cell r="J368">
            <v>6.4852569999999998E-2</v>
          </cell>
          <cell r="K368">
            <v>6.4086470000000006E-2</v>
          </cell>
          <cell r="L368">
            <v>6.2839300000000001E-2</v>
          </cell>
          <cell r="M368">
            <v>6.1806100000000003E-2</v>
          </cell>
          <cell r="N368">
            <v>6.0179990000000003E-2</v>
          </cell>
          <cell r="O368">
            <v>5.3865759999999999E-2</v>
          </cell>
          <cell r="P368">
            <v>5.1979310000000001E-2</v>
          </cell>
        </row>
        <row r="369">
          <cell r="A369" t="str">
            <v>CR.USD.MUNI.TAXABLE.BB.SPRD.PAR#2Y</v>
          </cell>
          <cell r="B369" t="str">
            <v>UNITED STATES MUNI TAXABLE BB 2Y PAR SPREAD OVER GOVT</v>
          </cell>
          <cell r="C369" t="str">
            <v>Credit Spread Risk</v>
          </cell>
          <cell r="D369">
            <v>1</v>
          </cell>
          <cell r="E369" t="str">
            <v>N/A</v>
          </cell>
          <cell r="F369" t="str">
            <v>Decimal</v>
          </cell>
          <cell r="G369">
            <v>3.2639849999999998E-2</v>
          </cell>
          <cell r="H369">
            <v>3.2472319999999999E-2</v>
          </cell>
          <cell r="I369">
            <v>7.6971120000000004E-2</v>
          </cell>
          <cell r="J369">
            <v>7.2183280000000002E-2</v>
          </cell>
          <cell r="K369">
            <v>7.0947319999999994E-2</v>
          </cell>
          <cell r="L369">
            <v>6.9334629999999994E-2</v>
          </cell>
          <cell r="M369">
            <v>6.8431389999999995E-2</v>
          </cell>
          <cell r="N369">
            <v>6.7303520000000006E-2</v>
          </cell>
          <cell r="O369">
            <v>6.1779290000000001E-2</v>
          </cell>
          <cell r="P369">
            <v>5.941685E-2</v>
          </cell>
        </row>
        <row r="370">
          <cell r="A370" t="str">
            <v>CR.USD.MUNI.TAXABLE.BB.SPRD.PAR#30Y</v>
          </cell>
          <cell r="B370" t="str">
            <v>UNITED STATES MUNI TAXABLE BB 30Y PAR SPREAD OVER GOVT</v>
          </cell>
          <cell r="C370" t="str">
            <v>Credit Spread Risk</v>
          </cell>
          <cell r="D370">
            <v>1</v>
          </cell>
          <cell r="E370" t="str">
            <v>N/A</v>
          </cell>
          <cell r="F370" t="str">
            <v>Decimal</v>
          </cell>
          <cell r="G370">
            <v>3.071053E-2</v>
          </cell>
          <cell r="H370">
            <v>3.047182E-2</v>
          </cell>
          <cell r="I370">
            <v>6.8207719999999999E-2</v>
          </cell>
          <cell r="J370">
            <v>6.4074019999999995E-2</v>
          </cell>
          <cell r="K370">
            <v>6.3456659999999998E-2</v>
          </cell>
          <cell r="L370">
            <v>6.2367569999999997E-2</v>
          </cell>
          <cell r="M370">
            <v>6.1446649999999998E-2</v>
          </cell>
          <cell r="N370">
            <v>5.9936049999999998E-2</v>
          </cell>
          <cell r="O370">
            <v>5.3649839999999997E-2</v>
          </cell>
          <cell r="P370">
            <v>5.1747219999999997E-2</v>
          </cell>
        </row>
        <row r="371">
          <cell r="A371" t="str">
            <v>CR.USD.MUNI.TAXABLE.BB.SPRD.PAR#3Y</v>
          </cell>
          <cell r="B371" t="str">
            <v>UNITED STATES MUNI TAXABLE BB 3Y PAR SPREAD OVER GOVT</v>
          </cell>
          <cell r="C371" t="str">
            <v>Credit Spread Risk</v>
          </cell>
          <cell r="D371">
            <v>1</v>
          </cell>
          <cell r="E371" t="str">
            <v>N/A</v>
          </cell>
          <cell r="F371" t="str">
            <v>Decimal</v>
          </cell>
          <cell r="G371">
            <v>3.2470730000000003E-2</v>
          </cell>
          <cell r="H371">
            <v>3.2443350000000003E-2</v>
          </cell>
          <cell r="I371">
            <v>7.7018349999999999E-2</v>
          </cell>
          <cell r="J371">
            <v>7.2489600000000001E-2</v>
          </cell>
          <cell r="K371">
            <v>7.1455519999999995E-2</v>
          </cell>
          <cell r="L371">
            <v>6.9634860000000007E-2</v>
          </cell>
          <cell r="M371">
            <v>6.8420159999999994E-2</v>
          </cell>
          <cell r="N371">
            <v>6.6826640000000007E-2</v>
          </cell>
          <cell r="O371">
            <v>6.0686120000000003E-2</v>
          </cell>
          <cell r="P371">
            <v>5.8396650000000001E-2</v>
          </cell>
        </row>
        <row r="372">
          <cell r="A372" t="str">
            <v>CR.USD.MUNI.TAXABLE.BB.SPRD.PAR#5Y</v>
          </cell>
          <cell r="B372" t="str">
            <v>UNITED STATES MUNI TAXABLE BB 5Y PAR SPREAD OVER GOVT</v>
          </cell>
          <cell r="C372" t="str">
            <v>Credit Spread Risk</v>
          </cell>
          <cell r="D372">
            <v>1</v>
          </cell>
          <cell r="E372" t="str">
            <v>N/A</v>
          </cell>
          <cell r="F372" t="str">
            <v>Decimal</v>
          </cell>
          <cell r="G372">
            <v>3.2161019999999998E-2</v>
          </cell>
          <cell r="H372">
            <v>3.1954219999999998E-2</v>
          </cell>
          <cell r="I372">
            <v>7.6110769999999994E-2</v>
          </cell>
          <cell r="J372">
            <v>7.1404170000000003E-2</v>
          </cell>
          <cell r="K372">
            <v>7.0120580000000002E-2</v>
          </cell>
          <cell r="L372">
            <v>6.8614010000000003E-2</v>
          </cell>
          <cell r="M372">
            <v>6.7658070000000001E-2</v>
          </cell>
          <cell r="N372">
            <v>6.6295279999999998E-2</v>
          </cell>
          <cell r="O372">
            <v>6.0336460000000001E-2</v>
          </cell>
          <cell r="P372">
            <v>5.80508E-2</v>
          </cell>
        </row>
        <row r="373">
          <cell r="A373" t="str">
            <v>CR.USD.MUNI.TAXABLE.BB.SPRD.PAR#7Y</v>
          </cell>
          <cell r="B373" t="str">
            <v>UNITED STATES MUNI TAXABLE BB 7Y PAR SPREAD OVER GOVT</v>
          </cell>
          <cell r="C373" t="str">
            <v>Credit Spread Risk</v>
          </cell>
          <cell r="D373">
            <v>1</v>
          </cell>
          <cell r="E373" t="str">
            <v>N/A</v>
          </cell>
          <cell r="F373" t="str">
            <v>Decimal</v>
          </cell>
          <cell r="G373">
            <v>3.1905610000000001E-2</v>
          </cell>
          <cell r="H373">
            <v>3.1699739999999997E-2</v>
          </cell>
          <cell r="I373">
            <v>7.4509560000000002E-2</v>
          </cell>
          <cell r="J373">
            <v>6.9966669999999995E-2</v>
          </cell>
          <cell r="K373">
            <v>6.8949529999999995E-2</v>
          </cell>
          <cell r="L373">
            <v>6.761433E-2</v>
          </cell>
          <cell r="M373">
            <v>6.6727770000000006E-2</v>
          </cell>
          <cell r="N373">
            <v>6.5329949999999998E-2</v>
          </cell>
          <cell r="O373">
            <v>5.9100069999999998E-2</v>
          </cell>
          <cell r="P373">
            <v>5.704393E-2</v>
          </cell>
        </row>
        <row r="374">
          <cell r="A374" t="str">
            <v>CR.USD.MUNI.TAXABLE.BB.SPRD.SIMPLE#12M</v>
          </cell>
          <cell r="B374" t="str">
            <v>UNITED STATES MUNI TAXABLE BB 12M SIMPLE SPREAD OVER GOVT</v>
          </cell>
          <cell r="C374" t="str">
            <v>Credit Spread Risk</v>
          </cell>
          <cell r="D374">
            <v>1</v>
          </cell>
          <cell r="E374" t="str">
            <v>N/A</v>
          </cell>
          <cell r="F374" t="str">
            <v>Decimal</v>
          </cell>
          <cell r="G374">
            <v>3.2456859999999997E-2</v>
          </cell>
          <cell r="H374">
            <v>3.2785740000000001E-2</v>
          </cell>
          <cell r="I374">
            <v>7.6717999999999995E-2</v>
          </cell>
          <cell r="J374">
            <v>7.1646349999999998E-2</v>
          </cell>
          <cell r="K374">
            <v>6.9841899999999998E-2</v>
          </cell>
          <cell r="L374">
            <v>6.7792939999999996E-2</v>
          </cell>
          <cell r="M374">
            <v>6.6556450000000003E-2</v>
          </cell>
          <cell r="N374">
            <v>6.5291150000000006E-2</v>
          </cell>
          <cell r="O374">
            <v>5.9884270000000003E-2</v>
          </cell>
          <cell r="P374">
            <v>5.813049E-2</v>
          </cell>
        </row>
        <row r="375">
          <cell r="A375" t="str">
            <v>CR.USD.MUNI.TAXABLE.BB.SPRD.SIMPLE#1M</v>
          </cell>
          <cell r="B375" t="str">
            <v>UNITED STATES MUNI TAXABLE BB 1M SIMPLE SPREAD OVER GOVT</v>
          </cell>
          <cell r="C375" t="str">
            <v>Credit Spread Risk</v>
          </cell>
          <cell r="D375">
            <v>1</v>
          </cell>
          <cell r="E375" t="str">
            <v>N/A</v>
          </cell>
          <cell r="F375" t="str">
            <v>Decimal</v>
          </cell>
          <cell r="G375">
            <v>3.230761E-2</v>
          </cell>
          <cell r="H375">
            <v>3.242461E-2</v>
          </cell>
          <cell r="I375">
            <v>7.6771110000000004E-2</v>
          </cell>
          <cell r="J375">
            <v>7.1970950000000006E-2</v>
          </cell>
          <cell r="K375">
            <v>7.2132139999999997E-2</v>
          </cell>
          <cell r="L375">
            <v>6.9585590000000003E-2</v>
          </cell>
          <cell r="M375">
            <v>6.7054829999999996E-2</v>
          </cell>
          <cell r="N375">
            <v>6.4609899999999998E-2</v>
          </cell>
          <cell r="O375">
            <v>5.9222230000000001E-2</v>
          </cell>
          <cell r="P375">
            <v>5.7488879999999999E-2</v>
          </cell>
        </row>
        <row r="376">
          <cell r="A376" t="str">
            <v>CR.USD.MUNI.TAXABLE.BB.SPRD.SIMPLE#3M</v>
          </cell>
          <cell r="B376" t="str">
            <v>UNITED STATES MUNI TAXABLE BB 3M SIMPLE SPREAD OVER GOVT</v>
          </cell>
          <cell r="C376" t="str">
            <v>Credit Spread Risk</v>
          </cell>
          <cell r="D376">
            <v>1</v>
          </cell>
          <cell r="E376" t="str">
            <v>N/A</v>
          </cell>
          <cell r="F376" t="str">
            <v>Decimal</v>
          </cell>
          <cell r="G376">
            <v>3.2255979999999997E-2</v>
          </cell>
          <cell r="H376">
            <v>3.2453610000000001E-2</v>
          </cell>
          <cell r="I376">
            <v>7.6776869999999997E-2</v>
          </cell>
          <cell r="J376">
            <v>7.156353E-2</v>
          </cell>
          <cell r="K376">
            <v>7.1750480000000005E-2</v>
          </cell>
          <cell r="L376">
            <v>6.9006440000000002E-2</v>
          </cell>
          <cell r="M376">
            <v>6.6698549999999995E-2</v>
          </cell>
          <cell r="N376">
            <v>6.4331990000000006E-2</v>
          </cell>
          <cell r="O376">
            <v>5.9228299999999998E-2</v>
          </cell>
          <cell r="P376">
            <v>5.7287490000000003E-2</v>
          </cell>
        </row>
        <row r="377">
          <cell r="A377" t="str">
            <v>CR.USD.MUNI.TAXABLE.BB.SPRD.SIMPLE#6M</v>
          </cell>
          <cell r="B377" t="str">
            <v>UNITED STATES MUNI TAXABLE BB 6M SIMPLE SPREAD OVER GOVT</v>
          </cell>
          <cell r="C377" t="str">
            <v>Credit Spread Risk</v>
          </cell>
          <cell r="D377">
            <v>1</v>
          </cell>
          <cell r="E377" t="str">
            <v>N/A</v>
          </cell>
          <cell r="F377" t="str">
            <v>Decimal</v>
          </cell>
          <cell r="G377">
            <v>3.2369740000000001E-2</v>
          </cell>
          <cell r="H377">
            <v>3.2634059999999999E-2</v>
          </cell>
          <cell r="I377">
            <v>7.6470090000000004E-2</v>
          </cell>
          <cell r="J377">
            <v>7.2291510000000003E-2</v>
          </cell>
          <cell r="K377">
            <v>7.1071999999999996E-2</v>
          </cell>
          <cell r="L377">
            <v>6.8318690000000001E-2</v>
          </cell>
          <cell r="M377">
            <v>6.6263039999999995E-2</v>
          </cell>
          <cell r="N377">
            <v>6.4822279999999996E-2</v>
          </cell>
          <cell r="O377">
            <v>5.9300279999999997E-2</v>
          </cell>
          <cell r="P377">
            <v>5.7621260000000001E-2</v>
          </cell>
        </row>
        <row r="378">
          <cell r="A378" t="str">
            <v>CR.USD.MUNI.TAXABLE.BBB.SPRD.PAR#10Y</v>
          </cell>
          <cell r="B378" t="str">
            <v>UNITED STATES MUNI TAXABLE BBB 10Y PAR SPREAD OVER GOVT</v>
          </cell>
          <cell r="C378" t="str">
            <v>Credit Spread Risk</v>
          </cell>
          <cell r="D378">
            <v>1</v>
          </cell>
          <cell r="E378" t="str">
            <v>N/A</v>
          </cell>
          <cell r="F378" t="str">
            <v>Decimal</v>
          </cell>
          <cell r="G378">
            <v>1.686029E-2</v>
          </cell>
          <cell r="H378">
            <v>1.7243250000000002E-2</v>
          </cell>
          <cell r="I378">
            <v>4.4844660000000001E-2</v>
          </cell>
          <cell r="J378">
            <v>4.197803E-2</v>
          </cell>
          <cell r="K378">
            <v>4.3005069999999999E-2</v>
          </cell>
          <cell r="L378">
            <v>4.2475020000000002E-2</v>
          </cell>
          <cell r="M378">
            <v>4.193293E-2</v>
          </cell>
          <cell r="N378">
            <v>4.0430420000000002E-2</v>
          </cell>
          <cell r="O378">
            <v>3.3546329999999999E-2</v>
          </cell>
          <cell r="P378">
            <v>3.3180910000000001E-2</v>
          </cell>
        </row>
        <row r="379">
          <cell r="A379" t="str">
            <v>CR.USD.MUNI.TAXABLE.BBB.SPRD.PAR#15Y</v>
          </cell>
          <cell r="B379" t="str">
            <v>UNITED STATES MUNI TAXABLE BBB 15Y PAR SPREAD OVER GOVT</v>
          </cell>
          <cell r="C379" t="str">
            <v>Credit Spread Risk</v>
          </cell>
          <cell r="D379">
            <v>1</v>
          </cell>
          <cell r="E379" t="str">
            <v>N/A</v>
          </cell>
          <cell r="F379" t="str">
            <v>Decimal</v>
          </cell>
          <cell r="G379">
            <v>1.8718740000000001E-2</v>
          </cell>
          <cell r="H379">
            <v>1.8945799999999999E-2</v>
          </cell>
          <cell r="I379">
            <v>4.5371219999999997E-2</v>
          </cell>
          <cell r="J379">
            <v>4.2486599999999999E-2</v>
          </cell>
          <cell r="K379">
            <v>4.3117040000000002E-2</v>
          </cell>
          <cell r="L379">
            <v>4.2344630000000001E-2</v>
          </cell>
          <cell r="M379">
            <v>4.1546239999999998E-2</v>
          </cell>
          <cell r="N379">
            <v>3.9884719999999999E-2</v>
          </cell>
          <cell r="O379">
            <v>3.3380600000000003E-2</v>
          </cell>
          <cell r="P379">
            <v>3.2808459999999998E-2</v>
          </cell>
        </row>
        <row r="380">
          <cell r="A380" t="str">
            <v>CR.USD.MUNI.TAXABLE.BBB.SPRD.PAR#20Y</v>
          </cell>
          <cell r="B380" t="str">
            <v>UNITED STATES MUNI TAXABLE BBB 20Y PAR SPREAD OVER GOVT</v>
          </cell>
          <cell r="C380" t="str">
            <v>Credit Spread Risk</v>
          </cell>
          <cell r="D380">
            <v>1</v>
          </cell>
          <cell r="E380" t="str">
            <v>N/A</v>
          </cell>
          <cell r="F380" t="str">
            <v>Decimal</v>
          </cell>
          <cell r="G380">
            <v>1.8684039999999999E-2</v>
          </cell>
          <cell r="H380">
            <v>1.8800049999999999E-2</v>
          </cell>
          <cell r="I380">
            <v>4.4437520000000001E-2</v>
          </cell>
          <cell r="J380">
            <v>4.1267579999999998E-2</v>
          </cell>
          <cell r="K380">
            <v>4.1664470000000002E-2</v>
          </cell>
          <cell r="L380">
            <v>4.0759570000000002E-2</v>
          </cell>
          <cell r="M380">
            <v>3.9839569999999998E-2</v>
          </cell>
          <cell r="N380">
            <v>3.8101500000000003E-2</v>
          </cell>
          <cell r="O380">
            <v>3.165896E-2</v>
          </cell>
          <cell r="P380">
            <v>3.1085000000000002E-2</v>
          </cell>
        </row>
        <row r="381">
          <cell r="A381" t="str">
            <v>CR.USD.MUNI.TAXABLE.BBB.SPRD.PAR#2Y</v>
          </cell>
          <cell r="B381" t="str">
            <v>UNITED STATES MUNI TAXABLE BBB 2Y PAR SPREAD OVER GOVT</v>
          </cell>
          <cell r="C381" t="str">
            <v>Credit Spread Risk</v>
          </cell>
          <cell r="D381">
            <v>1</v>
          </cell>
          <cell r="E381" t="str">
            <v>N/A</v>
          </cell>
          <cell r="F381" t="str">
            <v>Decimal</v>
          </cell>
          <cell r="G381">
            <v>8.3066900000000003E-3</v>
          </cell>
          <cell r="H381">
            <v>8.9517199999999998E-3</v>
          </cell>
          <cell r="I381">
            <v>3.8039860000000002E-2</v>
          </cell>
          <cell r="J381">
            <v>3.5497889999999997E-2</v>
          </cell>
          <cell r="K381">
            <v>3.7086760000000003E-2</v>
          </cell>
          <cell r="L381">
            <v>3.6699280000000001E-2</v>
          </cell>
          <cell r="M381">
            <v>3.6529029999999997E-2</v>
          </cell>
          <cell r="N381">
            <v>3.5684019999999997E-2</v>
          </cell>
          <cell r="O381">
            <v>2.9882579999999999E-2</v>
          </cell>
          <cell r="P381">
            <v>2.9619670000000001E-2</v>
          </cell>
        </row>
        <row r="382">
          <cell r="A382" t="str">
            <v>CR.USD.MUNI.TAXABLE.BBB.SPRD.PAR#30Y</v>
          </cell>
          <cell r="B382" t="str">
            <v>UNITED STATES MUNI TAXABLE BBB 30Y PAR SPREAD OVER GOVT</v>
          </cell>
          <cell r="C382" t="str">
            <v>Credit Spread Risk</v>
          </cell>
          <cell r="D382">
            <v>1</v>
          </cell>
          <cell r="E382" t="str">
            <v>N/A</v>
          </cell>
          <cell r="F382" t="str">
            <v>Decimal</v>
          </cell>
          <cell r="G382">
            <v>1.8430439999999999E-2</v>
          </cell>
          <cell r="H382">
            <v>1.850715E-2</v>
          </cell>
          <cell r="I382">
            <v>4.3859519999999999E-2</v>
          </cell>
          <cell r="J382">
            <v>4.072021E-2</v>
          </cell>
          <cell r="K382">
            <v>4.1161009999999998E-2</v>
          </cell>
          <cell r="L382">
            <v>4.033718E-2</v>
          </cell>
          <cell r="M382">
            <v>3.9473899999999999E-2</v>
          </cell>
          <cell r="N382">
            <v>3.7802200000000001E-2</v>
          </cell>
          <cell r="O382">
            <v>3.1394390000000001E-2</v>
          </cell>
          <cell r="P382">
            <v>3.0799179999999999E-2</v>
          </cell>
        </row>
        <row r="383">
          <cell r="A383" t="str">
            <v>CR.USD.MUNI.TAXABLE.BBB.SPRD.PAR#3Y</v>
          </cell>
          <cell r="B383" t="str">
            <v>UNITED STATES MUNI TAXABLE BBB 3Y PAR SPREAD OVER GOVT</v>
          </cell>
          <cell r="C383" t="str">
            <v>Credit Spread Risk</v>
          </cell>
          <cell r="D383">
            <v>1</v>
          </cell>
          <cell r="E383" t="str">
            <v>N/A</v>
          </cell>
          <cell r="F383" t="str">
            <v>Decimal</v>
          </cell>
          <cell r="G383">
            <v>1.005052E-2</v>
          </cell>
          <cell r="H383">
            <v>1.0830930000000001E-2</v>
          </cell>
          <cell r="I383">
            <v>3.9961749999999997E-2</v>
          </cell>
          <cell r="J383">
            <v>3.7559269999999999E-2</v>
          </cell>
          <cell r="K383">
            <v>3.9179600000000002E-2</v>
          </cell>
          <cell r="L383">
            <v>3.8490950000000003E-2</v>
          </cell>
          <cell r="M383">
            <v>3.791622E-2</v>
          </cell>
          <cell r="N383">
            <v>3.6513469999999999E-2</v>
          </cell>
          <cell r="O383">
            <v>3.0009299999999999E-2</v>
          </cell>
          <cell r="P383">
            <v>2.9721230000000001E-2</v>
          </cell>
        </row>
        <row r="384">
          <cell r="A384" t="str">
            <v>CR.USD.MUNI.TAXABLE.BBB.SPRD.PAR#5Y</v>
          </cell>
          <cell r="B384" t="str">
            <v>UNITED STATES MUNI TAXABLE BBB 5Y PAR SPREAD OVER GOVT</v>
          </cell>
          <cell r="C384" t="str">
            <v>Credit Spread Risk</v>
          </cell>
          <cell r="D384">
            <v>1</v>
          </cell>
          <cell r="E384" t="str">
            <v>N/A</v>
          </cell>
          <cell r="F384" t="str">
            <v>Decimal</v>
          </cell>
          <cell r="G384">
            <v>1.2817749999999999E-2</v>
          </cell>
          <cell r="H384">
            <v>1.330974E-2</v>
          </cell>
          <cell r="I384">
            <v>4.1896049999999997E-2</v>
          </cell>
          <cell r="J384">
            <v>3.9120589999999997E-2</v>
          </cell>
          <cell r="K384">
            <v>4.0220489999999998E-2</v>
          </cell>
          <cell r="L384">
            <v>3.972374E-2</v>
          </cell>
          <cell r="M384">
            <v>3.9309999999999998E-2</v>
          </cell>
          <cell r="N384">
            <v>3.8048430000000001E-2</v>
          </cell>
          <cell r="O384">
            <v>3.1672649999999997E-2</v>
          </cell>
          <cell r="P384">
            <v>3.1300120000000001E-2</v>
          </cell>
        </row>
        <row r="385">
          <cell r="A385" t="str">
            <v>CR.USD.MUNI.TAXABLE.BBB.SPRD.PAR#7Y</v>
          </cell>
          <cell r="B385" t="str">
            <v>UNITED STATES MUNI TAXABLE BBB 7Y PAR SPREAD OVER GOVT</v>
          </cell>
          <cell r="C385" t="str">
            <v>Credit Spread Risk</v>
          </cell>
          <cell r="D385">
            <v>1</v>
          </cell>
          <cell r="E385" t="str">
            <v>N/A</v>
          </cell>
          <cell r="F385" t="str">
            <v>Decimal</v>
          </cell>
          <cell r="G385">
            <v>1.4798759999999999E-2</v>
          </cell>
          <cell r="H385">
            <v>1.5214510000000001E-2</v>
          </cell>
          <cell r="I385">
            <v>4.3345960000000003E-2</v>
          </cell>
          <cell r="J385">
            <v>4.0537749999999997E-2</v>
          </cell>
          <cell r="K385">
            <v>4.1614199999999997E-2</v>
          </cell>
          <cell r="L385">
            <v>4.1129140000000002E-2</v>
          </cell>
          <cell r="M385">
            <v>4.0682139999999999E-2</v>
          </cell>
          <cell r="N385">
            <v>3.9325449999999998E-2</v>
          </cell>
          <cell r="O385">
            <v>3.2712400000000003E-2</v>
          </cell>
          <cell r="P385">
            <v>3.2431269999999998E-2</v>
          </cell>
        </row>
        <row r="386">
          <cell r="A386" t="str">
            <v>CR.USD.MUNI.TAXABLE.BBB.SPRD.SIMPLE#12M</v>
          </cell>
          <cell r="B386" t="str">
            <v>UNITED STATES MUNI TAXABLE BBB 12M SIMPLE SPREAD OVER GOVT</v>
          </cell>
          <cell r="C386" t="str">
            <v>Credit Spread Risk</v>
          </cell>
          <cell r="D386">
            <v>1</v>
          </cell>
          <cell r="E386" t="str">
            <v>N/A</v>
          </cell>
          <cell r="F386" t="str">
            <v>Decimal</v>
          </cell>
          <cell r="G386">
            <v>6.3941199999999997E-3</v>
          </cell>
          <cell r="H386">
            <v>7.3966600000000002E-3</v>
          </cell>
          <cell r="I386">
            <v>3.6189800000000001E-2</v>
          </cell>
          <cell r="J386">
            <v>3.3487719999999999E-2</v>
          </cell>
          <cell r="K386">
            <v>3.4764099999999999E-2</v>
          </cell>
          <cell r="L386">
            <v>3.400413E-2</v>
          </cell>
          <cell r="M386">
            <v>3.3572169999999998E-2</v>
          </cell>
          <cell r="N386">
            <v>3.2669280000000002E-2</v>
          </cell>
          <cell r="O386">
            <v>2.7071439999999999E-2</v>
          </cell>
          <cell r="P386">
            <v>2.7465570000000002E-2</v>
          </cell>
        </row>
        <row r="387">
          <cell r="A387" t="str">
            <v>CR.USD.MUNI.TAXABLE.BBB.SPRD.SIMPLE#1M</v>
          </cell>
          <cell r="B387" t="str">
            <v>UNITED STATES MUNI TAXABLE BBB 1M SIMPLE SPREAD OVER GOVT</v>
          </cell>
          <cell r="C387" t="str">
            <v>Credit Spread Risk</v>
          </cell>
          <cell r="D387">
            <v>1</v>
          </cell>
          <cell r="E387" t="str">
            <v>N/A</v>
          </cell>
          <cell r="F387" t="str">
            <v>Decimal</v>
          </cell>
          <cell r="G387">
            <v>6.2413199999999999E-3</v>
          </cell>
          <cell r="H387">
            <v>6.3620200000000003E-3</v>
          </cell>
          <cell r="I387">
            <v>3.4640009999999999E-2</v>
          </cell>
          <cell r="J387">
            <v>3.1017380000000001E-2</v>
          </cell>
          <cell r="K387">
            <v>3.5051569999999997E-2</v>
          </cell>
          <cell r="L387">
            <v>3.3924320000000001E-2</v>
          </cell>
          <cell r="M387">
            <v>3.2365350000000001E-2</v>
          </cell>
          <cell r="N387">
            <v>3.048449E-2</v>
          </cell>
          <cell r="O387">
            <v>2.4638529999999999E-2</v>
          </cell>
          <cell r="P387">
            <v>2.5250180000000001E-2</v>
          </cell>
        </row>
        <row r="388">
          <cell r="A388" t="str">
            <v>CR.USD.MUNI.TAXABLE.BBB.SPRD.SIMPLE#3M</v>
          </cell>
          <cell r="B388" t="str">
            <v>UNITED STATES MUNI TAXABLE BBB 3M SIMPLE SPREAD OVER GOVT</v>
          </cell>
          <cell r="C388" t="str">
            <v>Credit Spread Risk</v>
          </cell>
          <cell r="D388">
            <v>1</v>
          </cell>
          <cell r="E388" t="str">
            <v>N/A</v>
          </cell>
          <cell r="F388" t="str">
            <v>Decimal</v>
          </cell>
          <cell r="G388">
            <v>6.1896599999999996E-3</v>
          </cell>
          <cell r="H388">
            <v>6.3934400000000002E-3</v>
          </cell>
          <cell r="I388">
            <v>3.4650100000000003E-2</v>
          </cell>
          <cell r="J388">
            <v>3.062875E-2</v>
          </cell>
          <cell r="K388">
            <v>3.5030940000000003E-2</v>
          </cell>
          <cell r="L388">
            <v>3.3710169999999998E-2</v>
          </cell>
          <cell r="M388">
            <v>3.2369259999999997E-2</v>
          </cell>
          <cell r="N388">
            <v>3.0570839999999998E-2</v>
          </cell>
          <cell r="O388">
            <v>2.4972600000000001E-2</v>
          </cell>
          <cell r="P388">
            <v>2.5379450000000001E-2</v>
          </cell>
        </row>
        <row r="389">
          <cell r="A389" t="str">
            <v>CR.USD.MUNI.TAXABLE.BBB.SPRD.SIMPLE#6M</v>
          </cell>
          <cell r="B389" t="str">
            <v>UNITED STATES MUNI TAXABLE BBB 6M SIMPLE SPREAD OVER GOVT</v>
          </cell>
          <cell r="C389" t="str">
            <v>Credit Spread Risk</v>
          </cell>
          <cell r="D389">
            <v>1</v>
          </cell>
          <cell r="E389" t="str">
            <v>N/A</v>
          </cell>
          <cell r="F389" t="str">
            <v>Decimal</v>
          </cell>
          <cell r="G389">
            <v>6.3042899999999997E-3</v>
          </cell>
          <cell r="H389">
            <v>6.57925E-3</v>
          </cell>
          <cell r="I389">
            <v>3.4356240000000003E-2</v>
          </cell>
          <cell r="J389">
            <v>3.2670680000000001E-2</v>
          </cell>
          <cell r="K389">
            <v>3.4906529999999998E-2</v>
          </cell>
          <cell r="L389">
            <v>3.3567630000000001E-2</v>
          </cell>
          <cell r="M389">
            <v>3.2483529999999997E-2</v>
          </cell>
          <cell r="N389">
            <v>3.1339939999999997E-2</v>
          </cell>
          <cell r="O389">
            <v>2.5522079999999999E-2</v>
          </cell>
          <cell r="P389">
            <v>2.61873E-2</v>
          </cell>
        </row>
        <row r="390">
          <cell r="A390" t="str">
            <v>CR.USD.MUNI.TAXABLE.CCC.SPRD.PAR#10Y</v>
          </cell>
          <cell r="B390" t="str">
            <v>UNITED STATES MUNI TAXABLE CCC 10Y PAR SPREAD OVER GOVT</v>
          </cell>
          <cell r="C390" t="str">
            <v>Credit Spread Risk</v>
          </cell>
          <cell r="D390">
            <v>1</v>
          </cell>
          <cell r="E390" t="str">
            <v>N/A</v>
          </cell>
          <cell r="F390" t="str">
            <v>Decimal</v>
          </cell>
          <cell r="G390">
            <v>8.7862889999999999E-2</v>
          </cell>
          <cell r="H390">
            <v>8.7533449999999999E-2</v>
          </cell>
          <cell r="I390">
            <v>0.18983716</v>
          </cell>
          <cell r="J390">
            <v>0.17884193000000001</v>
          </cell>
          <cell r="K390">
            <v>0.17670815000000001</v>
          </cell>
          <cell r="L390">
            <v>0.17365447000000001</v>
          </cell>
          <cell r="M390">
            <v>0.17145969999999999</v>
          </cell>
          <cell r="N390">
            <v>0.16777721000000001</v>
          </cell>
          <cell r="O390">
            <v>0.15171061999999999</v>
          </cell>
          <cell r="P390">
            <v>0.14668117999999999</v>
          </cell>
        </row>
        <row r="391">
          <cell r="A391" t="str">
            <v>CR.USD.MUNI.TAXABLE.CCC.SPRD.PAR#15Y</v>
          </cell>
          <cell r="B391" t="str">
            <v>UNITED STATES MUNI TAXABLE CCC 15Y PAR SPREAD OVER GOVT</v>
          </cell>
          <cell r="C391" t="str">
            <v>Credit Spread Risk</v>
          </cell>
          <cell r="D391">
            <v>1</v>
          </cell>
          <cell r="E391" t="str">
            <v>N/A</v>
          </cell>
          <cell r="F391" t="str">
            <v>Decimal</v>
          </cell>
          <cell r="G391">
            <v>8.7140419999999996E-2</v>
          </cell>
          <cell r="H391">
            <v>8.6740639999999994E-2</v>
          </cell>
          <cell r="I391">
            <v>0.18585668999999999</v>
          </cell>
          <cell r="J391">
            <v>0.17493453</v>
          </cell>
          <cell r="K391">
            <v>0.17278999</v>
          </cell>
          <cell r="L391">
            <v>0.16967747999999999</v>
          </cell>
          <cell r="M391">
            <v>0.16729817999999999</v>
          </cell>
          <cell r="N391">
            <v>0.16343332999999999</v>
          </cell>
          <cell r="O391">
            <v>0.14750932</v>
          </cell>
          <cell r="P391">
            <v>0.14255944000000001</v>
          </cell>
        </row>
        <row r="392">
          <cell r="A392" t="str">
            <v>CR.USD.MUNI.TAXABLE.CCC.SPRD.PAR#20Y</v>
          </cell>
          <cell r="B392" t="str">
            <v>UNITED STATES MUNI TAXABLE CCC 20Y PAR SPREAD OVER GOVT</v>
          </cell>
          <cell r="C392" t="str">
            <v>Credit Spread Risk</v>
          </cell>
          <cell r="D392">
            <v>1</v>
          </cell>
          <cell r="E392" t="str">
            <v>N/A</v>
          </cell>
          <cell r="F392" t="str">
            <v>Decimal</v>
          </cell>
          <cell r="G392">
            <v>8.5977680000000001E-2</v>
          </cell>
          <cell r="H392">
            <v>8.545498E-2</v>
          </cell>
          <cell r="I392">
            <v>0.18363628000000001</v>
          </cell>
          <cell r="J392">
            <v>0.17265549999999999</v>
          </cell>
          <cell r="K392">
            <v>0.17054878000000001</v>
          </cell>
          <cell r="L392">
            <v>0.16750134</v>
          </cell>
          <cell r="M392">
            <v>0.16511735</v>
          </cell>
          <cell r="N392">
            <v>0.16125914</v>
          </cell>
          <cell r="O392">
            <v>0.14531184</v>
          </cell>
          <cell r="P392">
            <v>0.14031921</v>
          </cell>
        </row>
        <row r="393">
          <cell r="A393" t="str">
            <v>CR.USD.MUNI.TAXABLE.CCC.SPRD.PAR#2Y</v>
          </cell>
          <cell r="B393" t="str">
            <v>UNITED STATES MUNI TAXABLE CCC 2Y PAR SPREAD OVER GOVT</v>
          </cell>
          <cell r="C393" t="str">
            <v>Credit Spread Risk</v>
          </cell>
          <cell r="D393">
            <v>1</v>
          </cell>
          <cell r="E393" t="str">
            <v>N/A</v>
          </cell>
          <cell r="F393" t="str">
            <v>Decimal</v>
          </cell>
          <cell r="G393">
            <v>9.0265719999999994E-2</v>
          </cell>
          <cell r="H393">
            <v>8.9993660000000003E-2</v>
          </cell>
          <cell r="I393">
            <v>0.19858086</v>
          </cell>
          <cell r="J393">
            <v>0.18685092</v>
          </cell>
          <cell r="K393">
            <v>0.18360176</v>
          </cell>
          <cell r="L393">
            <v>0.179785</v>
          </cell>
          <cell r="M393">
            <v>0.17737684000000001</v>
          </cell>
          <cell r="N393">
            <v>0.17396727000000001</v>
          </cell>
          <cell r="O393">
            <v>0.15940214</v>
          </cell>
          <cell r="P393">
            <v>0.15395917000000001</v>
          </cell>
        </row>
        <row r="394">
          <cell r="A394" t="str">
            <v>CR.USD.MUNI.TAXABLE.CCC.SPRD.PAR#30Y</v>
          </cell>
          <cell r="B394" t="str">
            <v>UNITED STATES MUNI TAXABLE CCC 30Y PAR SPREAD OVER GOVT</v>
          </cell>
          <cell r="C394" t="str">
            <v>Credit Spread Risk</v>
          </cell>
          <cell r="D394">
            <v>1</v>
          </cell>
          <cell r="E394" t="str">
            <v>N/A</v>
          </cell>
          <cell r="F394" t="str">
            <v>Decimal</v>
          </cell>
          <cell r="G394">
            <v>8.5060010000000005E-2</v>
          </cell>
          <cell r="H394">
            <v>8.4410529999999998E-2</v>
          </cell>
          <cell r="I394">
            <v>0.18193889999999999</v>
          </cell>
          <cell r="J394">
            <v>0.17098485999999999</v>
          </cell>
          <cell r="K394">
            <v>0.16905144999999999</v>
          </cell>
          <cell r="L394">
            <v>0.16619791</v>
          </cell>
          <cell r="M394">
            <v>0.16393037999999999</v>
          </cell>
          <cell r="N394">
            <v>0.16019385999999999</v>
          </cell>
          <cell r="O394">
            <v>0.14417110999999999</v>
          </cell>
          <cell r="P394">
            <v>0.13908677999999999</v>
          </cell>
        </row>
        <row r="395">
          <cell r="A395" t="str">
            <v>CR.USD.MUNI.TAXABLE.CCC.SPRD.PAR#3Y</v>
          </cell>
          <cell r="B395" t="str">
            <v>UNITED STATES MUNI TAXABLE CCC 3Y PAR SPREAD OVER GOVT</v>
          </cell>
          <cell r="C395" t="str">
            <v>Credit Spread Risk</v>
          </cell>
          <cell r="D395">
            <v>1</v>
          </cell>
          <cell r="E395" t="str">
            <v>N/A</v>
          </cell>
          <cell r="F395" t="str">
            <v>Decimal</v>
          </cell>
          <cell r="G395">
            <v>8.9837799999999995E-2</v>
          </cell>
          <cell r="H395">
            <v>8.9688009999999999E-2</v>
          </cell>
          <cell r="I395">
            <v>0.19820276000000001</v>
          </cell>
          <cell r="J395">
            <v>0.18680559999999999</v>
          </cell>
          <cell r="K395">
            <v>0.18379140999999999</v>
          </cell>
          <cell r="L395">
            <v>0.17980652999999999</v>
          </cell>
          <cell r="M395">
            <v>0.17714490999999999</v>
          </cell>
          <cell r="N395">
            <v>0.17333045999999999</v>
          </cell>
          <cell r="O395">
            <v>0.15819685</v>
          </cell>
          <cell r="P395">
            <v>0.15282069000000001</v>
          </cell>
        </row>
        <row r="396">
          <cell r="A396" t="str">
            <v>CR.USD.MUNI.TAXABLE.CCC.SPRD.PAR#5Y</v>
          </cell>
          <cell r="B396" t="str">
            <v>UNITED STATES MUNI TAXABLE CCC 5Y PAR SPREAD OVER GOVT</v>
          </cell>
          <cell r="C396" t="str">
            <v>Credit Spread Risk</v>
          </cell>
          <cell r="D396">
            <v>1</v>
          </cell>
          <cell r="E396" t="str">
            <v>N/A</v>
          </cell>
          <cell r="F396" t="str">
            <v>Decimal</v>
          </cell>
          <cell r="G396">
            <v>8.901452E-2</v>
          </cell>
          <cell r="H396">
            <v>8.8684840000000001E-2</v>
          </cell>
          <cell r="I396">
            <v>0.19649997</v>
          </cell>
          <cell r="J396">
            <v>0.18506512999999999</v>
          </cell>
          <cell r="K396">
            <v>0.18194845000000001</v>
          </cell>
          <cell r="L396">
            <v>0.17833251999999999</v>
          </cell>
          <cell r="M396">
            <v>0.17593537000000001</v>
          </cell>
          <cell r="N396">
            <v>0.17235434999999999</v>
          </cell>
          <cell r="O396">
            <v>0.1573272</v>
          </cell>
          <cell r="P396">
            <v>0.15189519000000001</v>
          </cell>
        </row>
        <row r="397">
          <cell r="A397" t="str">
            <v>CR.USD.MUNI.TAXABLE.CCC.SPRD.PAR#7Y</v>
          </cell>
          <cell r="B397" t="str">
            <v>UNITED STATES MUNI TAXABLE CCC 7Y PAR SPREAD OVER GOVT</v>
          </cell>
          <cell r="C397" t="str">
            <v>Credit Spread Risk</v>
          </cell>
          <cell r="D397">
            <v>1</v>
          </cell>
          <cell r="E397" t="str">
            <v>N/A</v>
          </cell>
          <cell r="F397" t="str">
            <v>Decimal</v>
          </cell>
          <cell r="G397">
            <v>8.8335109999999994E-2</v>
          </cell>
          <cell r="H397">
            <v>8.7972320000000007E-2</v>
          </cell>
          <cell r="I397">
            <v>0.19324902999999999</v>
          </cell>
          <cell r="J397">
            <v>0.18207324</v>
          </cell>
          <cell r="K397">
            <v>0.17945127</v>
          </cell>
          <cell r="L397">
            <v>0.17615817</v>
          </cell>
          <cell r="M397">
            <v>0.17391346999999999</v>
          </cell>
          <cell r="N397">
            <v>0.17034079999999999</v>
          </cell>
          <cell r="O397">
            <v>0.15486516</v>
          </cell>
          <cell r="P397">
            <v>0.14967411999999999</v>
          </cell>
        </row>
        <row r="398">
          <cell r="A398" t="str">
            <v>CR.USD.MUNI.TAXABLE.CCC.SPRD.SIMPLE#12M</v>
          </cell>
          <cell r="B398" t="str">
            <v>UNITED STATES MUNI TAXABLE CCC 12M SIMPLE SPREAD OVER GOVT</v>
          </cell>
          <cell r="C398" t="str">
            <v>Credit Spread Risk</v>
          </cell>
          <cell r="D398">
            <v>1</v>
          </cell>
          <cell r="E398" t="str">
            <v>N/A</v>
          </cell>
          <cell r="F398" t="str">
            <v>Decimal</v>
          </cell>
          <cell r="G398">
            <v>8.9338039999999994E-2</v>
          </cell>
          <cell r="H398">
            <v>8.9561779999999994E-2</v>
          </cell>
          <cell r="I398">
            <v>0.1965587</v>
          </cell>
          <cell r="J398">
            <v>0.18463029</v>
          </cell>
          <cell r="K398">
            <v>0.18084262000000001</v>
          </cell>
          <cell r="L398">
            <v>0.1766296</v>
          </cell>
          <cell r="M398">
            <v>0.17390483000000001</v>
          </cell>
          <cell r="N398">
            <v>0.17038623999999999</v>
          </cell>
          <cell r="O398">
            <v>0.15608</v>
          </cell>
          <cell r="P398">
            <v>0.15127924000000001</v>
          </cell>
        </row>
        <row r="399">
          <cell r="A399" t="str">
            <v>CR.USD.MUNI.TAXABLE.CCC.SPRD.SIMPLE#1M</v>
          </cell>
          <cell r="B399" t="str">
            <v>UNITED STATES MUNI TAXABLE CCC 1M SIMPLE SPREAD OVER GOVT</v>
          </cell>
          <cell r="C399" t="str">
            <v>Credit Spread Risk</v>
          </cell>
          <cell r="D399">
            <v>1</v>
          </cell>
          <cell r="E399" t="str">
            <v>N/A</v>
          </cell>
          <cell r="F399" t="str">
            <v>Decimal</v>
          </cell>
          <cell r="G399">
            <v>8.9189199999999996E-2</v>
          </cell>
          <cell r="H399">
            <v>8.9257260000000005E-2</v>
          </cell>
          <cell r="I399">
            <v>0.19671965</v>
          </cell>
          <cell r="J399">
            <v>0.18516202000000001</v>
          </cell>
          <cell r="K399">
            <v>0.18340429999999999</v>
          </cell>
          <cell r="L399">
            <v>0.17870637</v>
          </cell>
          <cell r="M399">
            <v>0.17466532000000001</v>
          </cell>
          <cell r="N399">
            <v>0.16994844000000001</v>
          </cell>
          <cell r="O399">
            <v>0.15566373999999999</v>
          </cell>
          <cell r="P399">
            <v>0.15084800000000001</v>
          </cell>
        </row>
        <row r="400">
          <cell r="A400" t="str">
            <v>CR.USD.MUNI.TAXABLE.CCC.SPRD.SIMPLE#3M</v>
          </cell>
          <cell r="B400" t="str">
            <v>UNITED STATES MUNI TAXABLE CCC 3M SIMPLE SPREAD OVER GOVT</v>
          </cell>
          <cell r="C400" t="str">
            <v>Credit Spread Risk</v>
          </cell>
          <cell r="D400">
            <v>1</v>
          </cell>
          <cell r="E400" t="str">
            <v>N/A</v>
          </cell>
          <cell r="F400" t="str">
            <v>Decimal</v>
          </cell>
          <cell r="G400">
            <v>8.9137560000000005E-2</v>
          </cell>
          <cell r="H400">
            <v>8.9282159999999999E-2</v>
          </cell>
          <cell r="I400">
            <v>0.19671764</v>
          </cell>
          <cell r="J400">
            <v>0.18470687999999999</v>
          </cell>
          <cell r="K400">
            <v>0.18298506</v>
          </cell>
          <cell r="L400">
            <v>0.17805915999999999</v>
          </cell>
          <cell r="M400">
            <v>0.17427305000000001</v>
          </cell>
          <cell r="N400">
            <v>0.16962151</v>
          </cell>
          <cell r="O400">
            <v>0.15561258</v>
          </cell>
          <cell r="P400">
            <v>0.15055088999999999</v>
          </cell>
        </row>
        <row r="401">
          <cell r="A401" t="str">
            <v>CR.USD.MUNI.TAXABLE.CCC.SPRD.SIMPLE#6M</v>
          </cell>
          <cell r="B401" t="str">
            <v>UNITED STATES MUNI TAXABLE CCC 6M SIMPLE SPREAD OVER GOVT</v>
          </cell>
          <cell r="C401" t="str">
            <v>Credit Spread Risk</v>
          </cell>
          <cell r="D401">
            <v>1</v>
          </cell>
          <cell r="E401" t="str">
            <v>N/A</v>
          </cell>
          <cell r="F401" t="str">
            <v>Decimal</v>
          </cell>
          <cell r="G401">
            <v>8.9251220000000006E-2</v>
          </cell>
          <cell r="H401">
            <v>8.9454149999999996E-2</v>
          </cell>
          <cell r="I401">
            <v>0.19638091999999999</v>
          </cell>
          <cell r="J401">
            <v>0.18538925000000001</v>
          </cell>
          <cell r="K401">
            <v>0.18220275</v>
          </cell>
          <cell r="L401">
            <v>0.17729302999999999</v>
          </cell>
          <cell r="M401">
            <v>0.17376226</v>
          </cell>
          <cell r="N401">
            <v>0.17005720999999999</v>
          </cell>
          <cell r="O401">
            <v>0.15561762000000001</v>
          </cell>
          <cell r="P401">
            <v>0.15084106999999999</v>
          </cell>
        </row>
        <row r="402">
          <cell r="A402" t="str">
            <v>CR.USD.SECTOR.A.CMBS</v>
          </cell>
          <cell r="B402" t="str">
            <v>Credit Spread over government curve for US A CMBS</v>
          </cell>
          <cell r="C402" t="str">
            <v>Credit Spread Risk</v>
          </cell>
          <cell r="D402">
            <v>1</v>
          </cell>
          <cell r="E402" t="str">
            <v>N/A</v>
          </cell>
          <cell r="F402" t="str">
            <v>Decimal</v>
          </cell>
          <cell r="G402">
            <v>1.2052291E-2</v>
          </cell>
          <cell r="H402">
            <v>1.1901979E-2</v>
          </cell>
          <cell r="I402">
            <v>4.3997109999999999E-2</v>
          </cell>
          <cell r="J402">
            <v>4.0576123999999998E-2</v>
          </cell>
          <cell r="K402">
            <v>3.9643148000000003E-2</v>
          </cell>
          <cell r="L402">
            <v>3.8548100000000002E-2</v>
          </cell>
          <cell r="M402">
            <v>3.7853275999999998E-2</v>
          </cell>
          <cell r="N402">
            <v>3.6862734000000001E-2</v>
          </cell>
          <cell r="O402">
            <v>3.2531573000000001E-2</v>
          </cell>
          <cell r="P402">
            <v>3.0870244000000002E-2</v>
          </cell>
        </row>
        <row r="403">
          <cell r="A403" t="str">
            <v>CR.USD.SECTOR.AA.CMBS</v>
          </cell>
          <cell r="B403" t="str">
            <v>Credit Spread over government curve for US AA CMBS</v>
          </cell>
          <cell r="C403" t="str">
            <v>Credit Spread Risk</v>
          </cell>
          <cell r="D403">
            <v>1</v>
          </cell>
          <cell r="E403" t="str">
            <v>N/A</v>
          </cell>
          <cell r="F403" t="str">
            <v>Decimal</v>
          </cell>
          <cell r="G403">
            <v>1.0478777E-2</v>
          </cell>
          <cell r="H403">
            <v>1.0328465E-2</v>
          </cell>
          <cell r="I403">
            <v>4.2423596000000001E-2</v>
          </cell>
          <cell r="J403">
            <v>3.900261E-2</v>
          </cell>
          <cell r="K403">
            <v>3.8069633999999998E-2</v>
          </cell>
          <cell r="L403">
            <v>3.6974585999999997E-2</v>
          </cell>
          <cell r="M403">
            <v>3.6279762E-2</v>
          </cell>
          <cell r="N403">
            <v>3.5289220000000003E-2</v>
          </cell>
          <cell r="O403">
            <v>3.0958059E-2</v>
          </cell>
          <cell r="P403">
            <v>2.929673E-2</v>
          </cell>
        </row>
        <row r="404">
          <cell r="A404" t="str">
            <v>CR.USD.SECTOR.AAA.ABS</v>
          </cell>
          <cell r="B404" t="str">
            <v>Credit Spread over government curve for US AAA ABS</v>
          </cell>
          <cell r="C404" t="str">
            <v>Credit Spread Risk</v>
          </cell>
          <cell r="D404">
            <v>1</v>
          </cell>
          <cell r="E404" t="str">
            <v>N/A</v>
          </cell>
          <cell r="F404" t="str">
            <v>Decimal</v>
          </cell>
          <cell r="G404">
            <v>5.5878070000000002E-3</v>
          </cell>
          <cell r="H404">
            <v>5.2667440000000003E-3</v>
          </cell>
          <cell r="I404">
            <v>7.3821054999999997E-2</v>
          </cell>
          <cell r="J404">
            <v>6.6513923000000003E-2</v>
          </cell>
          <cell r="K404">
            <v>6.4521113000000005E-2</v>
          </cell>
          <cell r="L404">
            <v>6.218212E-2</v>
          </cell>
          <cell r="M404">
            <v>6.0697994999999998E-2</v>
          </cell>
          <cell r="N404">
            <v>5.8582225000000002E-2</v>
          </cell>
          <cell r="O404">
            <v>4.9330986E-2</v>
          </cell>
          <cell r="P404">
            <v>4.5782432999999997E-2</v>
          </cell>
        </row>
        <row r="405">
          <cell r="A405" t="str">
            <v>CR.USD.SECTOR.AAA.CMBS</v>
          </cell>
          <cell r="B405" t="str">
            <v>Credit Spread over government curve for US AAA CMBS</v>
          </cell>
          <cell r="C405" t="str">
            <v>Credit Spread Risk</v>
          </cell>
          <cell r="D405">
            <v>1</v>
          </cell>
          <cell r="E405" t="str">
            <v>N/A</v>
          </cell>
          <cell r="F405" t="str">
            <v>Decimal</v>
          </cell>
          <cell r="G405">
            <v>6.940735E-3</v>
          </cell>
          <cell r="H405">
            <v>6.7904230000000003E-3</v>
          </cell>
          <cell r="I405">
            <v>3.8885553000000003E-2</v>
          </cell>
          <cell r="J405">
            <v>3.5464567000000002E-2</v>
          </cell>
          <cell r="K405">
            <v>3.4531592E-2</v>
          </cell>
          <cell r="L405">
            <v>3.3436542999999999E-2</v>
          </cell>
          <cell r="M405">
            <v>3.2741719000000002E-2</v>
          </cell>
          <cell r="N405">
            <v>3.1751176999999998E-2</v>
          </cell>
          <cell r="O405">
            <v>2.7420017000000001E-2</v>
          </cell>
          <cell r="P405">
            <v>2.5758687999999998E-2</v>
          </cell>
        </row>
        <row r="406">
          <cell r="A406" t="str">
            <v>CR.USD.SECTOR.BBB.CMBS</v>
          </cell>
          <cell r="B406" t="str">
            <v>Credit Spread over government curve for US BBB CMBS</v>
          </cell>
          <cell r="C406" t="str">
            <v>Credit Spread Risk</v>
          </cell>
          <cell r="D406">
            <v>1</v>
          </cell>
          <cell r="E406" t="str">
            <v>N/A</v>
          </cell>
          <cell r="F406" t="str">
            <v>Decimal</v>
          </cell>
          <cell r="G406">
            <v>1.6796027000000002E-2</v>
          </cell>
          <cell r="H406">
            <v>1.6551736000000001E-2</v>
          </cell>
          <cell r="I406">
            <v>6.8713311999999999E-2</v>
          </cell>
          <cell r="J406">
            <v>6.3153465000000006E-2</v>
          </cell>
          <cell r="K406">
            <v>6.1637176000000002E-2</v>
          </cell>
          <cell r="L406">
            <v>5.9857484000000002E-2</v>
          </cell>
          <cell r="M406">
            <v>5.8728243999999999E-2</v>
          </cell>
          <cell r="N406">
            <v>5.7118398000000001E-2</v>
          </cell>
          <cell r="O406">
            <v>5.0079318999999997E-2</v>
          </cell>
          <cell r="P406">
            <v>4.7379297000000001E-2</v>
          </cell>
        </row>
        <row r="407">
          <cell r="A407" t="str">
            <v>CR.USD.SECTOR.CDO</v>
          </cell>
          <cell r="B407" t="str">
            <v>Credit Spread over government curve for US CDO</v>
          </cell>
          <cell r="C407" t="str">
            <v>Credit Spread Risk</v>
          </cell>
          <cell r="D407">
            <v>1</v>
          </cell>
          <cell r="E407" t="str">
            <v>N/A</v>
          </cell>
          <cell r="F407" t="str">
            <v>Decimal</v>
          </cell>
          <cell r="G407">
            <v>1.1324023000000001E-2</v>
          </cell>
          <cell r="H407">
            <v>1.1004933999999999E-2</v>
          </cell>
          <cell r="I407">
            <v>7.9137810000000003E-2</v>
          </cell>
          <cell r="J407">
            <v>7.1875598999999998E-2</v>
          </cell>
          <cell r="K407">
            <v>6.9895039000000006E-2</v>
          </cell>
          <cell r="L407">
            <v>6.7570425000000003E-2</v>
          </cell>
          <cell r="M407">
            <v>6.6095424E-2</v>
          </cell>
          <cell r="N407">
            <v>6.3992660000000007E-2</v>
          </cell>
          <cell r="O407">
            <v>5.4798292999999998E-2</v>
          </cell>
          <cell r="P407">
            <v>5.1271555000000003E-2</v>
          </cell>
        </row>
        <row r="408">
          <cell r="A408" t="str">
            <v>CR.USD.SECTOR.MBS.FNMA.OAS</v>
          </cell>
          <cell r="B408" t="str">
            <v>Option adjusted spread for US FNMA MBS</v>
          </cell>
          <cell r="C408" t="str">
            <v>Credit Spread Risk</v>
          </cell>
          <cell r="D408">
            <v>1</v>
          </cell>
          <cell r="E408" t="str">
            <v>N/A</v>
          </cell>
          <cell r="F408" t="str">
            <v>Decimal</v>
          </cell>
          <cell r="G408">
            <v>4.0755879999999998E-3</v>
          </cell>
          <cell r="H408">
            <v>4.1631710000000002E-3</v>
          </cell>
          <cell r="I408">
            <v>1.0960595E-2</v>
          </cell>
          <cell r="J408">
            <v>9.7861549999999995E-3</v>
          </cell>
          <cell r="K408">
            <v>9.5253809999999994E-3</v>
          </cell>
          <cell r="L408">
            <v>8.9946509999999993E-3</v>
          </cell>
          <cell r="M408">
            <v>8.5585250000000009E-3</v>
          </cell>
          <cell r="N408">
            <v>8.0360050000000006E-3</v>
          </cell>
          <cell r="O408">
            <v>6.6614409999999997E-3</v>
          </cell>
          <cell r="P408">
            <v>6.5820779999999999E-3</v>
          </cell>
        </row>
        <row r="409">
          <cell r="A409" t="str">
            <v>CR.USD.SECTOR.NONAAA.ABS</v>
          </cell>
          <cell r="B409" t="str">
            <v>Credit Spread over government curve for US Non AAA ABS</v>
          </cell>
          <cell r="C409" t="str">
            <v>Credit Spread Risk</v>
          </cell>
          <cell r="D409">
            <v>1</v>
          </cell>
          <cell r="E409" t="str">
            <v>N/A</v>
          </cell>
          <cell r="F409" t="str">
            <v>Decimal</v>
          </cell>
          <cell r="G409">
            <v>1.1324023000000001E-2</v>
          </cell>
          <cell r="H409">
            <v>1.1002960000000001E-2</v>
          </cell>
          <cell r="I409">
            <v>7.9557270999999999E-2</v>
          </cell>
          <cell r="J409">
            <v>7.2250140000000004E-2</v>
          </cell>
          <cell r="K409">
            <v>7.0257328999999993E-2</v>
          </cell>
          <cell r="L409">
            <v>6.7918335999999996E-2</v>
          </cell>
          <cell r="M409">
            <v>6.6434212000000006E-2</v>
          </cell>
          <cell r="N409">
            <v>6.4318441000000004E-2</v>
          </cell>
          <cell r="O409">
            <v>5.5067202000000003E-2</v>
          </cell>
          <cell r="P409">
            <v>5.1518649999999999E-2</v>
          </cell>
        </row>
        <row r="410">
          <cell r="A410" t="str">
            <v>EC.USD.AIG.TERMLIFE.RATE</v>
          </cell>
          <cell r="B410" t="str">
            <v>L&amp;R Industry Sales - Term Life; Annualized Year/Year; Growth</v>
          </cell>
          <cell r="C410" t="str">
            <v>Business Risk</v>
          </cell>
          <cell r="D410">
            <v>0</v>
          </cell>
          <cell r="E410" t="str">
            <v>N/A</v>
          </cell>
          <cell r="F410" t="str">
            <v>Decimal</v>
          </cell>
          <cell r="G410">
            <v>-2.41E-4</v>
          </cell>
          <cell r="H410">
            <v>-2.41E-4</v>
          </cell>
          <cell r="I410">
            <v>-4.8200000000000001E-4</v>
          </cell>
          <cell r="J410">
            <v>-4.8200000000000001E-4</v>
          </cell>
          <cell r="K410">
            <v>-4.8200000000000001E-4</v>
          </cell>
          <cell r="L410">
            <v>-4.8200000000000001E-4</v>
          </cell>
          <cell r="M410">
            <v>-3.9100000000000002E-4</v>
          </cell>
          <cell r="N410">
            <v>-3.9100000000000002E-4</v>
          </cell>
          <cell r="O410">
            <v>-3.9100000000000002E-4</v>
          </cell>
          <cell r="P410">
            <v>-3.9100000000000002E-4</v>
          </cell>
        </row>
        <row r="411">
          <cell r="A411" t="str">
            <v>EC.USD.AIG.UNIVERSALLIFE.RATE</v>
          </cell>
          <cell r="B411" t="str">
            <v>L&amp;R Industry Sales - Universal Life; Annualized Year/Year; Growth</v>
          </cell>
          <cell r="C411" t="str">
            <v>Business Risk</v>
          </cell>
          <cell r="D411">
            <v>0</v>
          </cell>
          <cell r="E411" t="str">
            <v>N/A</v>
          </cell>
          <cell r="F411" t="str">
            <v>Decimal</v>
          </cell>
          <cell r="G411">
            <v>-3.0299999999999999E-4</v>
          </cell>
          <cell r="H411">
            <v>-3.0299999999999999E-4</v>
          </cell>
          <cell r="I411">
            <v>-5.4799999999999998E-4</v>
          </cell>
          <cell r="J411">
            <v>-5.4799999999999998E-4</v>
          </cell>
          <cell r="K411">
            <v>-5.4799999999999998E-4</v>
          </cell>
          <cell r="L411">
            <v>-5.4799999999999998E-4</v>
          </cell>
          <cell r="M411">
            <v>4.9299999999999995E-4</v>
          </cell>
          <cell r="N411">
            <v>4.9299999999999995E-4</v>
          </cell>
          <cell r="O411">
            <v>4.9299999999999995E-4</v>
          </cell>
          <cell r="P411">
            <v>4.9299999999999995E-4</v>
          </cell>
        </row>
        <row r="412">
          <cell r="A412" t="str">
            <v>EC.USD.AIG.VL_VUL.RATE</v>
          </cell>
          <cell r="B412" t="str">
            <v>L&amp;R Industry Sales - VL/VUL; Annualized Year/Year; Growth</v>
          </cell>
          <cell r="C412" t="str">
            <v>Business Risk</v>
          </cell>
          <cell r="D412">
            <v>0</v>
          </cell>
          <cell r="E412" t="str">
            <v>N/A</v>
          </cell>
          <cell r="F412" t="str">
            <v>Decimal</v>
          </cell>
          <cell r="G412">
            <v>1.305E-3</v>
          </cell>
          <cell r="H412">
            <v>1.305E-3</v>
          </cell>
          <cell r="I412">
            <v>-2.2169999999999998E-3</v>
          </cell>
          <cell r="J412">
            <v>-2.2169999999999998E-3</v>
          </cell>
          <cell r="K412">
            <v>-2.2169999999999998E-3</v>
          </cell>
          <cell r="L412">
            <v>-2.2169999999999998E-3</v>
          </cell>
          <cell r="M412">
            <v>-8.3799999999999999E-4</v>
          </cell>
          <cell r="N412">
            <v>-8.3799999999999999E-4</v>
          </cell>
          <cell r="O412">
            <v>-8.3799999999999999E-4</v>
          </cell>
          <cell r="P412">
            <v>-8.3799999999999999E-4</v>
          </cell>
        </row>
        <row r="413">
          <cell r="A413" t="str">
            <v>EC.USD.AIG.WHOLELIFE.RATE</v>
          </cell>
          <cell r="B413" t="str">
            <v>L&amp;R Industry Sales - Whole Life; Annualized Year/Year; Growth</v>
          </cell>
          <cell r="C413" t="str">
            <v>Business Risk</v>
          </cell>
          <cell r="D413">
            <v>0</v>
          </cell>
          <cell r="E413" t="str">
            <v>N/A</v>
          </cell>
          <cell r="F413" t="str">
            <v>Decimal</v>
          </cell>
          <cell r="G413">
            <v>1.0399999999999999E-4</v>
          </cell>
          <cell r="H413">
            <v>1.0399999999999999E-4</v>
          </cell>
          <cell r="I413">
            <v>-9.2E-5</v>
          </cell>
          <cell r="J413">
            <v>-9.2E-5</v>
          </cell>
          <cell r="K413">
            <v>-9.2E-5</v>
          </cell>
          <cell r="L413">
            <v>-9.2E-5</v>
          </cell>
          <cell r="M413">
            <v>2.2800000000000001E-4</v>
          </cell>
          <cell r="N413">
            <v>2.2800000000000001E-4</v>
          </cell>
          <cell r="O413">
            <v>2.2800000000000001E-4</v>
          </cell>
          <cell r="P413">
            <v>2.2800000000000001E-4</v>
          </cell>
        </row>
        <row r="414">
          <cell r="A414" t="str">
            <v>EC.USD.LURC.RATE</v>
          </cell>
          <cell r="B414" t="str">
            <v>US national level Unemployment Rate (120 quarters of projections are provided)</v>
          </cell>
          <cell r="C414" t="str">
            <v>Unemployment Risk</v>
          </cell>
          <cell r="D414">
            <v>0</v>
          </cell>
          <cell r="E414" t="str">
            <v>N/A</v>
          </cell>
          <cell r="F414" t="str">
            <v>Percentage</v>
          </cell>
          <cell r="G414">
            <v>6.1</v>
          </cell>
          <cell r="H414">
            <v>5.9866161350000002</v>
          </cell>
          <cell r="I414">
            <v>6.538405418</v>
          </cell>
          <cell r="J414">
            <v>7.0000185970000004</v>
          </cell>
          <cell r="K414">
            <v>7.6290645599999998</v>
          </cell>
          <cell r="L414">
            <v>8.2669582370000008</v>
          </cell>
          <cell r="M414">
            <v>8.9031229019999998</v>
          </cell>
          <cell r="N414">
            <v>9.3185977940000004</v>
          </cell>
          <cell r="O414">
            <v>9.1278562549999993</v>
          </cell>
          <cell r="P414">
            <v>9.0396623609999995</v>
          </cell>
        </row>
        <row r="415">
          <cell r="A415" t="str">
            <v>EC.USD.PCPI.MEDICAL.RATE</v>
          </cell>
          <cell r="B415" t="str">
            <v>Chain Price; PCE; Services; Health Care (2005=100); YoY (8 quarters of historical data are provided)</v>
          </cell>
          <cell r="C415" t="str">
            <v>Inflation Risk</v>
          </cell>
          <cell r="D415">
            <v>0</v>
          </cell>
          <cell r="E415" t="str">
            <v>N/A</v>
          </cell>
          <cell r="F415" t="str">
            <v>Percentage</v>
          </cell>
          <cell r="G415">
            <v>1.3067125079999999</v>
          </cell>
          <cell r="H415">
            <v>1.096192241</v>
          </cell>
          <cell r="I415">
            <v>1.3572329279999999</v>
          </cell>
          <cell r="J415">
            <v>1.2671570780000001</v>
          </cell>
          <cell r="K415">
            <v>1.4223220350000001</v>
          </cell>
          <cell r="L415">
            <v>1.6180161239999999</v>
          </cell>
          <cell r="M415">
            <v>1.7444900270000001</v>
          </cell>
          <cell r="N415">
            <v>1.7865082029999999</v>
          </cell>
          <cell r="O415">
            <v>1.8804057839999999</v>
          </cell>
          <cell r="P415">
            <v>1.8995751139999999</v>
          </cell>
        </row>
        <row r="416">
          <cell r="A416" t="str">
            <v>EC.USD.PCPI.RATE</v>
          </cell>
          <cell r="B416" t="str">
            <v>US CPI Inflation; annualized QoQ growth rate</v>
          </cell>
          <cell r="C416" t="str">
            <v>Inflation Risk</v>
          </cell>
          <cell r="D416">
            <v>0</v>
          </cell>
          <cell r="E416" t="str">
            <v>N/A</v>
          </cell>
          <cell r="F416" t="str">
            <v>Decimal</v>
          </cell>
          <cell r="G416">
            <v>1.8205629599999999E-2</v>
          </cell>
          <cell r="H416">
            <v>1.37109876E-2</v>
          </cell>
          <cell r="I416">
            <v>1.30071747E-2</v>
          </cell>
          <cell r="J416">
            <v>1.8102375300000001E-2</v>
          </cell>
          <cell r="K416">
            <v>1.8663597099999998E-2</v>
          </cell>
          <cell r="L416">
            <v>1.7607536300000001E-2</v>
          </cell>
          <cell r="M416">
            <v>1.7778075899999999E-2</v>
          </cell>
          <cell r="N416">
            <v>1.7430763200000001E-2</v>
          </cell>
          <cell r="O416">
            <v>1.6850607399999998E-2</v>
          </cell>
          <cell r="P416">
            <v>1.53217566E-2</v>
          </cell>
        </row>
        <row r="417">
          <cell r="A417" t="str">
            <v>EQ.USD.IDX.MID.SPOT</v>
          </cell>
          <cell r="B417" t="str">
            <v>SPOT LEVEL OF S&amp;P 400 MIDCAP INDEX (MID INDEX)</v>
          </cell>
          <cell r="C417" t="str">
            <v>Equity Risk</v>
          </cell>
          <cell r="D417">
            <v>1</v>
          </cell>
          <cell r="E417" t="str">
            <v>N/A</v>
          </cell>
          <cell r="F417" t="str">
            <v>Decimal</v>
          </cell>
          <cell r="G417">
            <v>1370.97</v>
          </cell>
          <cell r="H417">
            <v>1362.2742499999999</v>
          </cell>
          <cell r="I417">
            <v>1053.2269610000001</v>
          </cell>
          <cell r="J417">
            <v>993.37757099999999</v>
          </cell>
          <cell r="K417">
            <v>936.9291796</v>
          </cell>
          <cell r="L417">
            <v>1043.4106959999999</v>
          </cell>
          <cell r="M417">
            <v>1106.4675030000001</v>
          </cell>
          <cell r="N417">
            <v>1156.749325</v>
          </cell>
          <cell r="O417">
            <v>1222.481344</v>
          </cell>
          <cell r="P417">
            <v>1282.2671399999999</v>
          </cell>
        </row>
        <row r="418">
          <cell r="A418" t="str">
            <v>EQ.USD.IDX.MXEA.SPOT</v>
          </cell>
          <cell r="B418" t="str">
            <v>SPOT LEVEL OF MSCI EAFE (MXEA INDEX)</v>
          </cell>
          <cell r="C418" t="str">
            <v>Equity Risk</v>
          </cell>
          <cell r="D418">
            <v>1</v>
          </cell>
          <cell r="E418" t="str">
            <v>N/A</v>
          </cell>
          <cell r="F418" t="str">
            <v>Decimal</v>
          </cell>
          <cell r="G418">
            <v>1846.08</v>
          </cell>
          <cell r="H418">
            <v>1889.462295</v>
          </cell>
          <cell r="I418">
            <v>1553.1697389999999</v>
          </cell>
          <cell r="J418">
            <v>1463.6507570000001</v>
          </cell>
          <cell r="K418">
            <v>1404.8970939999999</v>
          </cell>
          <cell r="L418">
            <v>1519.5515909999999</v>
          </cell>
          <cell r="M418">
            <v>1594.9597349999999</v>
          </cell>
          <cell r="N418">
            <v>1646.186428</v>
          </cell>
          <cell r="O418">
            <v>1685.6176379999999</v>
          </cell>
          <cell r="P418">
            <v>1707.278656</v>
          </cell>
        </row>
        <row r="419">
          <cell r="A419" t="str">
            <v>EQ.USD.IDX.RU20INTR.SPOT</v>
          </cell>
          <cell r="B419" t="str">
            <v>SPOT LEVEL OF RUSSELL 2000 TOTAL RETURN INDE (RU20INTR INDEX)</v>
          </cell>
          <cell r="C419" t="str">
            <v>Equity Risk</v>
          </cell>
          <cell r="D419">
            <v>1</v>
          </cell>
          <cell r="E419" t="str">
            <v>N/A</v>
          </cell>
          <cell r="F419" t="str">
            <v>Decimal</v>
          </cell>
          <cell r="G419">
            <v>5178.7139999999999</v>
          </cell>
          <cell r="H419">
            <v>5174.8796329999996</v>
          </cell>
          <cell r="I419">
            <v>3968.1822750000001</v>
          </cell>
          <cell r="J419">
            <v>3754.0898109999998</v>
          </cell>
          <cell r="K419">
            <v>3551.548401</v>
          </cell>
          <cell r="L419">
            <v>3998.1219900000001</v>
          </cell>
          <cell r="M419">
            <v>4276.5779650000004</v>
          </cell>
          <cell r="N419">
            <v>4506.8559279999999</v>
          </cell>
          <cell r="O419">
            <v>4803.6007410000002</v>
          </cell>
          <cell r="P419">
            <v>5079.7848869999998</v>
          </cell>
        </row>
        <row r="420">
          <cell r="A420" t="str">
            <v>EQ.USD.IDX.SPX.IMPLVOL#1M</v>
          </cell>
          <cell r="B420" t="str">
            <v>IMPLIED VOLATILITY OF ATM 1M CALL ON S&amp;P 500</v>
          </cell>
          <cell r="C420" t="str">
            <v>Volatility Risk</v>
          </cell>
          <cell r="D420">
            <v>1</v>
          </cell>
          <cell r="E420" t="str">
            <v>N/A</v>
          </cell>
          <cell r="F420" t="str">
            <v>Decimal</v>
          </cell>
          <cell r="G420">
            <v>13.629799999999999</v>
          </cell>
          <cell r="H420">
            <v>13.629799999999999</v>
          </cell>
          <cell r="I420">
            <v>36.5218621</v>
          </cell>
          <cell r="J420">
            <v>30.453281860000001</v>
          </cell>
          <cell r="K420">
            <v>26.09300425</v>
          </cell>
          <cell r="L420">
            <v>22.916541039999998</v>
          </cell>
          <cell r="M420">
            <v>20.579113889999999</v>
          </cell>
          <cell r="N420">
            <v>18.84634767</v>
          </cell>
          <cell r="O420">
            <v>17.554778729999999</v>
          </cell>
          <cell r="P420">
            <v>16.588138180000001</v>
          </cell>
        </row>
        <row r="421">
          <cell r="A421" t="str">
            <v>EQ.USD.IDX.SPX.IMPLVOL#1Y</v>
          </cell>
          <cell r="B421" t="str">
            <v>IMPLIED VOLATILITY OF ATM 1Y CALL ON S&amp;P 500</v>
          </cell>
          <cell r="C421" t="str">
            <v>Volatility Risk</v>
          </cell>
          <cell r="D421">
            <v>1</v>
          </cell>
          <cell r="E421" t="str">
            <v>N/A</v>
          </cell>
          <cell r="F421" t="str">
            <v>Decimal</v>
          </cell>
          <cell r="G421">
            <v>16.101199999999999</v>
          </cell>
          <cell r="H421">
            <v>16.101199999999999</v>
          </cell>
          <cell r="I421">
            <v>34.289351959999998</v>
          </cell>
          <cell r="J421">
            <v>29.46775663</v>
          </cell>
          <cell r="K421">
            <v>26.003438240000001</v>
          </cell>
          <cell r="L421">
            <v>23.47968152</v>
          </cell>
          <cell r="M421">
            <v>21.622553929999999</v>
          </cell>
          <cell r="N421">
            <v>20.24584024</v>
          </cell>
          <cell r="O421">
            <v>19.21966566</v>
          </cell>
          <cell r="P421">
            <v>18.451652490000001</v>
          </cell>
        </row>
        <row r="422">
          <cell r="A422" t="str">
            <v>EQ.USD.IDX.SPX.IMPLVOL#2Y</v>
          </cell>
          <cell r="B422" t="str">
            <v>IMPLIED VOLATILITY OF ATM 2Y CALL ON S&amp;P 500</v>
          </cell>
          <cell r="C422" t="str">
            <v>Volatility Risk</v>
          </cell>
          <cell r="D422">
            <v>1</v>
          </cell>
          <cell r="E422" t="str">
            <v>N/A</v>
          </cell>
          <cell r="F422" t="str">
            <v>Decimal</v>
          </cell>
          <cell r="G422">
            <v>17.7638</v>
          </cell>
          <cell r="H422">
            <v>17.7638</v>
          </cell>
          <cell r="I422">
            <v>35.656522809999998</v>
          </cell>
          <cell r="J422">
            <v>30.913244389999999</v>
          </cell>
          <cell r="K422">
            <v>27.505196730000002</v>
          </cell>
          <cell r="L422">
            <v>25.022433249999999</v>
          </cell>
          <cell r="M422">
            <v>23.195470879999998</v>
          </cell>
          <cell r="N422">
            <v>21.841119070000001</v>
          </cell>
          <cell r="O422">
            <v>20.831612589999999</v>
          </cell>
          <cell r="P422">
            <v>20.076074219999999</v>
          </cell>
        </row>
        <row r="423">
          <cell r="A423" t="str">
            <v>EQ.USD.IDX.SPX.IMPLVOL#3M</v>
          </cell>
          <cell r="B423" t="str">
            <v>IMPLIED VOLATILITY OF ATM 3M CALL ON S&amp;P 500</v>
          </cell>
          <cell r="C423" t="str">
            <v>Volatility Risk</v>
          </cell>
          <cell r="D423">
            <v>1</v>
          </cell>
          <cell r="E423" t="str">
            <v>N/A</v>
          </cell>
          <cell r="F423" t="str">
            <v>Decimal</v>
          </cell>
          <cell r="G423">
            <v>13.9229</v>
          </cell>
          <cell r="H423">
            <v>13.9229</v>
          </cell>
          <cell r="I423">
            <v>34.363564220000001</v>
          </cell>
          <cell r="J423">
            <v>28.944838260000001</v>
          </cell>
          <cell r="K423">
            <v>25.051481249999998</v>
          </cell>
          <cell r="L423">
            <v>22.215169800000002</v>
          </cell>
          <cell r="M423">
            <v>20.128046179999998</v>
          </cell>
          <cell r="N423">
            <v>18.580833340000002</v>
          </cell>
          <cell r="O423">
            <v>17.427572139999999</v>
          </cell>
          <cell r="P423">
            <v>16.56444436</v>
          </cell>
        </row>
        <row r="424">
          <cell r="A424" t="str">
            <v>EQ.USD.IDX.SPX.SPOT</v>
          </cell>
          <cell r="B424" t="str">
            <v>SPOT LEVEL OF S&amp;P 500 INDEX (SPX INDEX)</v>
          </cell>
          <cell r="C424" t="str">
            <v>Equity Risk</v>
          </cell>
          <cell r="D424">
            <v>1</v>
          </cell>
          <cell r="E424" t="str">
            <v>N/A</v>
          </cell>
          <cell r="F424" t="str">
            <v>Decimal</v>
          </cell>
          <cell r="G424">
            <v>1972.29</v>
          </cell>
          <cell r="H424">
            <v>1961.282661</v>
          </cell>
          <cell r="I424">
            <v>1569.7815189999999</v>
          </cell>
          <cell r="J424">
            <v>1491.2924049999999</v>
          </cell>
          <cell r="K424">
            <v>1416.727842</v>
          </cell>
          <cell r="L424">
            <v>1558.4005990000001</v>
          </cell>
          <cell r="M424">
            <v>1641.2688639999999</v>
          </cell>
          <cell r="N424">
            <v>1706.8961629999999</v>
          </cell>
          <cell r="O424">
            <v>1792.241004</v>
          </cell>
          <cell r="P424">
            <v>1869.364133</v>
          </cell>
        </row>
        <row r="425">
          <cell r="A425" t="str">
            <v>EQ.USD.IDX.SPXT.SPOT</v>
          </cell>
          <cell r="B425" t="str">
            <v>SPOT LEVEL OF S&amp;P 500 TOTAL RETURN (SPXT INDEX)</v>
          </cell>
          <cell r="C425" t="str">
            <v>Equity Risk</v>
          </cell>
          <cell r="D425">
            <v>1</v>
          </cell>
          <cell r="E425" t="str">
            <v>N/A</v>
          </cell>
          <cell r="F425" t="str">
            <v>Decimal</v>
          </cell>
          <cell r="G425">
            <v>3592.25</v>
          </cell>
          <cell r="H425">
            <v>3590.0297650000002</v>
          </cell>
          <cell r="I425">
            <v>2891.2235879999998</v>
          </cell>
          <cell r="J425">
            <v>2761.0112840000002</v>
          </cell>
          <cell r="K425">
            <v>2636.6635350000001</v>
          </cell>
          <cell r="L425">
            <v>2913.4154189999999</v>
          </cell>
          <cell r="M425">
            <v>3082.7959510000001</v>
          </cell>
          <cell r="N425">
            <v>3221.3634379999999</v>
          </cell>
          <cell r="O425">
            <v>3398.419077</v>
          </cell>
          <cell r="P425">
            <v>3561.5248569999999</v>
          </cell>
        </row>
        <row r="426">
          <cell r="A426" t="str">
            <v>EQ.USD.IDX.VIX.SPOT</v>
          </cell>
          <cell r="B426" t="str">
            <v>SPOT LEVEL OF CBOE SPX VOLATILITY INDX (VIX INDEX)</v>
          </cell>
          <cell r="C426" t="str">
            <v>Volatility Risk</v>
          </cell>
          <cell r="D426">
            <v>1</v>
          </cell>
          <cell r="E426" t="str">
            <v>N/A</v>
          </cell>
          <cell r="F426" t="str">
            <v>Decimal</v>
          </cell>
          <cell r="G426">
            <v>13.09</v>
          </cell>
          <cell r="H426">
            <v>13.600000381499999</v>
          </cell>
          <cell r="I426">
            <v>38</v>
          </cell>
          <cell r="J426">
            <v>32.670188903800003</v>
          </cell>
          <cell r="K426">
            <v>28.631599426299999</v>
          </cell>
          <cell r="L426">
            <v>25.571414947499999</v>
          </cell>
          <cell r="M426">
            <v>23.2526035309</v>
          </cell>
          <cell r="N426">
            <v>21.495557784999999</v>
          </cell>
          <cell r="O426">
            <v>20.1641807556</v>
          </cell>
          <cell r="P426">
            <v>19.155347824100001</v>
          </cell>
        </row>
        <row r="427">
          <cell r="A427" t="str">
            <v>FX.USDCHF.SPOT</v>
          </cell>
          <cell r="B427" t="str">
            <v>USDCHF SPOT EXCHANGE RATE - PRICE OF 1 CHF IN USD</v>
          </cell>
          <cell r="C427" t="str">
            <v>Foreign Exchange Risk</v>
          </cell>
          <cell r="D427">
            <v>1</v>
          </cell>
          <cell r="E427" t="str">
            <v>N/A</v>
          </cell>
          <cell r="F427" t="str">
            <v>Decimal</v>
          </cell>
          <cell r="G427">
            <v>0.95589999999999997</v>
          </cell>
          <cell r="H427">
            <v>0.95314935000000001</v>
          </cell>
          <cell r="I427">
            <v>0.98928466000000004</v>
          </cell>
          <cell r="J427">
            <v>0.98268577000000001</v>
          </cell>
          <cell r="K427">
            <v>0.96730256000000003</v>
          </cell>
          <cell r="L427">
            <v>0.95272087999999999</v>
          </cell>
          <cell r="M427">
            <v>0.93971002999999997</v>
          </cell>
          <cell r="N427">
            <v>0.92699761999999997</v>
          </cell>
          <cell r="O427">
            <v>0.91438454000000002</v>
          </cell>
          <cell r="P427">
            <v>0.90972770000000003</v>
          </cell>
        </row>
        <row r="428">
          <cell r="A428" t="str">
            <v>FX.USDEUR.SPOT</v>
          </cell>
          <cell r="B428" t="str">
            <v>USDEUR SPOT EXCHANGE RATE - PRICE OF 1 EUR IN USD</v>
          </cell>
          <cell r="C428" t="str">
            <v>Foreign Exchange Risk</v>
          </cell>
          <cell r="D428">
            <v>1</v>
          </cell>
          <cell r="E428" t="str">
            <v>N/A</v>
          </cell>
          <cell r="F428" t="str">
            <v>Decimal</v>
          </cell>
          <cell r="G428">
            <v>0.79269999999999996</v>
          </cell>
          <cell r="H428">
            <v>0.79124000000000005</v>
          </cell>
          <cell r="I428">
            <v>0.82278556000000003</v>
          </cell>
          <cell r="J428">
            <v>0.81545151000000005</v>
          </cell>
          <cell r="K428">
            <v>0.80761185000000002</v>
          </cell>
          <cell r="L428">
            <v>0.79926777999999998</v>
          </cell>
          <cell r="M428">
            <v>0.79683791000000004</v>
          </cell>
          <cell r="N428">
            <v>0.78739566999999999</v>
          </cell>
          <cell r="O428">
            <v>0.78432005999999999</v>
          </cell>
          <cell r="P428">
            <v>0.78007154000000001</v>
          </cell>
        </row>
        <row r="429">
          <cell r="A429" t="str">
            <v>FX.USDGBP.SPOT</v>
          </cell>
          <cell r="B429" t="str">
            <v>USDGBP SPOT EXCHANGE RATE - PRICE OF 1 GBP IN USD</v>
          </cell>
          <cell r="C429" t="str">
            <v>Foreign Exchange Risk</v>
          </cell>
          <cell r="D429">
            <v>1</v>
          </cell>
          <cell r="E429" t="str">
            <v>N/A</v>
          </cell>
          <cell r="F429" t="str">
            <v>Decimal</v>
          </cell>
          <cell r="G429">
            <v>0.61739999999999995</v>
          </cell>
          <cell r="H429">
            <v>0.62107403999999999</v>
          </cell>
          <cell r="I429">
            <v>0.60691271999999996</v>
          </cell>
          <cell r="J429">
            <v>0.61500220999999999</v>
          </cell>
          <cell r="K429">
            <v>0.61568829999999997</v>
          </cell>
          <cell r="L429">
            <v>0.61256239999999995</v>
          </cell>
          <cell r="M429">
            <v>0.60933992999999997</v>
          </cell>
          <cell r="N429">
            <v>0.60954414999999995</v>
          </cell>
          <cell r="O429">
            <v>0.61721702000000001</v>
          </cell>
          <cell r="P429">
            <v>0.62851798000000003</v>
          </cell>
        </row>
        <row r="430">
          <cell r="A430" t="str">
            <v>FX.USDJPY.SPOT</v>
          </cell>
          <cell r="B430" t="str">
            <v>USDJPY SPOT EXCHANGE RATE - PRICE OF 1 JPY IN USD</v>
          </cell>
          <cell r="C430" t="str">
            <v>Foreign Exchange Risk</v>
          </cell>
          <cell r="D430">
            <v>1</v>
          </cell>
          <cell r="E430" t="str">
            <v>N/A</v>
          </cell>
          <cell r="F430" t="str">
            <v>Decimal</v>
          </cell>
          <cell r="G430">
            <v>109.77</v>
          </cell>
          <cell r="H430">
            <v>104.5617682</v>
          </cell>
          <cell r="I430">
            <v>93.665635140000006</v>
          </cell>
          <cell r="J430">
            <v>95.521318019999995</v>
          </cell>
          <cell r="K430">
            <v>93.918416089999994</v>
          </cell>
          <cell r="L430">
            <v>93.790387929999994</v>
          </cell>
          <cell r="M430">
            <v>93.471077589999993</v>
          </cell>
          <cell r="N430">
            <v>93.981501289999997</v>
          </cell>
          <cell r="O430">
            <v>93.427173909999993</v>
          </cell>
          <cell r="P430">
            <v>92.827565219999997</v>
          </cell>
        </row>
        <row r="431">
          <cell r="A431" t="str">
            <v>IR.EUR.EURIBOR.6M.PAR#100Y</v>
          </cell>
          <cell r="B431" t="str">
            <v>EUROZONE 100Y SWAP RATE</v>
          </cell>
          <cell r="C431" t="str">
            <v>Interest Rate Risk</v>
          </cell>
          <cell r="D431">
            <v>1</v>
          </cell>
          <cell r="E431" t="str">
            <v>N/A</v>
          </cell>
          <cell r="F431" t="str">
            <v>Decimal</v>
          </cell>
          <cell r="G431">
            <v>2.0147089999999999E-2</v>
          </cell>
          <cell r="H431">
            <v>1.949271E-2</v>
          </cell>
          <cell r="I431">
            <v>1.816603E-2</v>
          </cell>
          <cell r="J431">
            <v>1.5866769999999999E-2</v>
          </cell>
          <cell r="K431">
            <v>1.418517E-2</v>
          </cell>
          <cell r="L431">
            <v>1.3412530000000001E-2</v>
          </cell>
          <cell r="M431">
            <v>1.27916E-2</v>
          </cell>
          <cell r="N431">
            <v>1.2154720000000001E-2</v>
          </cell>
          <cell r="O431">
            <v>1.245243E-2</v>
          </cell>
          <cell r="P431">
            <v>1.3039810000000001E-2</v>
          </cell>
        </row>
        <row r="432">
          <cell r="A432" t="str">
            <v>IR.EUR.EURIBOR.6M.PAR#10Y</v>
          </cell>
          <cell r="B432" t="str">
            <v>EUROZONE 10Y SWAP RATE</v>
          </cell>
          <cell r="C432" t="str">
            <v>Interest Rate Risk</v>
          </cell>
          <cell r="D432">
            <v>1</v>
          </cell>
          <cell r="E432" t="str">
            <v>N/A</v>
          </cell>
          <cell r="F432" t="str">
            <v>Decimal</v>
          </cell>
          <cell r="G432">
            <v>1.136728E-2</v>
          </cell>
          <cell r="H432">
            <v>1.124611E-2</v>
          </cell>
          <cell r="I432">
            <v>1.0207620000000001E-2</v>
          </cell>
          <cell r="J432">
            <v>8.5742800000000001E-3</v>
          </cell>
          <cell r="K432">
            <v>7.3330699999999997E-3</v>
          </cell>
          <cell r="L432">
            <v>6.98775E-3</v>
          </cell>
          <cell r="M432">
            <v>6.8887899999999997E-3</v>
          </cell>
          <cell r="N432">
            <v>6.8135000000000001E-3</v>
          </cell>
          <cell r="O432">
            <v>7.4093300000000004E-3</v>
          </cell>
          <cell r="P432">
            <v>8.5110299999999993E-3</v>
          </cell>
        </row>
        <row r="433">
          <cell r="A433" t="str">
            <v>IR.EUR.EURIBOR.6M.PAR#15Y</v>
          </cell>
          <cell r="B433" t="str">
            <v>EUROZONE 15Y SWAP RATE</v>
          </cell>
          <cell r="C433" t="str">
            <v>Interest Rate Risk</v>
          </cell>
          <cell r="D433">
            <v>1</v>
          </cell>
          <cell r="E433" t="str">
            <v>N/A</v>
          </cell>
          <cell r="F433" t="str">
            <v>Decimal</v>
          </cell>
          <cell r="G433">
            <v>1.5824689999999999E-2</v>
          </cell>
          <cell r="H433">
            <v>1.556018E-2</v>
          </cell>
          <cell r="I433">
            <v>1.440192E-2</v>
          </cell>
          <cell r="J433">
            <v>1.259322E-2</v>
          </cell>
          <cell r="K433">
            <v>1.1199570000000001E-2</v>
          </cell>
          <cell r="L433">
            <v>1.069847E-2</v>
          </cell>
          <cell r="M433">
            <v>1.0427199999999999E-2</v>
          </cell>
          <cell r="N433">
            <v>1.01701E-2</v>
          </cell>
          <cell r="O433">
            <v>1.0612969999999999E-2</v>
          </cell>
          <cell r="P433">
            <v>1.153156E-2</v>
          </cell>
        </row>
        <row r="434">
          <cell r="A434" t="str">
            <v>IR.EUR.EURIBOR.6M.PAR#20Y</v>
          </cell>
          <cell r="B434" t="str">
            <v>EUROZONE 20Y SWAP RATE</v>
          </cell>
          <cell r="C434" t="str">
            <v>Interest Rate Risk</v>
          </cell>
          <cell r="D434">
            <v>1</v>
          </cell>
          <cell r="E434" t="str">
            <v>N/A</v>
          </cell>
          <cell r="F434" t="str">
            <v>Decimal</v>
          </cell>
          <cell r="G434">
            <v>1.7931119999999998E-2</v>
          </cell>
          <cell r="H434">
            <v>1.7546619999999999E-2</v>
          </cell>
          <cell r="I434">
            <v>1.629924E-2</v>
          </cell>
          <cell r="J434">
            <v>1.4353049999999999E-2</v>
          </cell>
          <cell r="K434">
            <v>1.285149E-2</v>
          </cell>
          <cell r="L434">
            <v>1.224538E-2</v>
          </cell>
          <cell r="M434">
            <v>1.1860320000000001E-2</v>
          </cell>
          <cell r="N434">
            <v>1.148303E-2</v>
          </cell>
          <cell r="O434">
            <v>1.1839199999999999E-2</v>
          </cell>
          <cell r="P434">
            <v>1.264525E-2</v>
          </cell>
        </row>
        <row r="435">
          <cell r="A435" t="str">
            <v>IR.EUR.EURIBOR.6M.PAR#2Y</v>
          </cell>
          <cell r="B435" t="str">
            <v>EUROZONE 2Y SWAP RATE</v>
          </cell>
          <cell r="C435" t="str">
            <v>Interest Rate Risk</v>
          </cell>
          <cell r="D435">
            <v>1</v>
          </cell>
          <cell r="E435" t="str">
            <v>N/A</v>
          </cell>
          <cell r="F435" t="str">
            <v>Decimal</v>
          </cell>
          <cell r="G435">
            <v>1.9202900000000001E-3</v>
          </cell>
          <cell r="H435">
            <v>2.0601999999999999E-3</v>
          </cell>
          <cell r="I435">
            <v>2.2599199999999999E-3</v>
          </cell>
          <cell r="J435">
            <v>1.77512E-3</v>
          </cell>
          <cell r="K435">
            <v>1.2019000000000001E-3</v>
          </cell>
          <cell r="L435">
            <v>9.1635999999999996E-4</v>
          </cell>
          <cell r="M435">
            <v>7.5551999999999998E-4</v>
          </cell>
          <cell r="N435">
            <v>5.6032E-4</v>
          </cell>
          <cell r="O435">
            <v>3.5463999999999998E-4</v>
          </cell>
          <cell r="P435">
            <v>1.5393000000000001E-4</v>
          </cell>
        </row>
        <row r="436">
          <cell r="A436" t="str">
            <v>IR.EUR.EURIBOR.6M.PAR#30Y</v>
          </cell>
          <cell r="B436" t="str">
            <v>EUROZONE 30Y SWAP RATE</v>
          </cell>
          <cell r="C436" t="str">
            <v>Interest Rate Risk</v>
          </cell>
          <cell r="D436">
            <v>1</v>
          </cell>
          <cell r="E436" t="str">
            <v>N/A</v>
          </cell>
          <cell r="F436" t="str">
            <v>Decimal</v>
          </cell>
          <cell r="G436">
            <v>1.9099560000000002E-2</v>
          </cell>
          <cell r="H436">
            <v>1.8597160000000001E-2</v>
          </cell>
          <cell r="I436">
            <v>1.7293940000000001E-2</v>
          </cell>
          <cell r="J436">
            <v>1.5196629999999999E-2</v>
          </cell>
          <cell r="K436">
            <v>1.3604150000000001E-2</v>
          </cell>
          <cell r="L436">
            <v>1.2913320000000001E-2</v>
          </cell>
          <cell r="M436">
            <v>1.2419319999999999E-2</v>
          </cell>
          <cell r="N436">
            <v>1.192649E-2</v>
          </cell>
          <cell r="O436">
            <v>1.2233870000000001E-2</v>
          </cell>
          <cell r="P436">
            <v>1.2938740000000001E-2</v>
          </cell>
        </row>
        <row r="437">
          <cell r="A437" t="str">
            <v>IR.EUR.EURIBOR.6M.PAR#35Y</v>
          </cell>
          <cell r="B437" t="str">
            <v>EUROZONE 35Y SWAP RATE</v>
          </cell>
          <cell r="C437" t="str">
            <v>Interest Rate Risk</v>
          </cell>
          <cell r="D437">
            <v>1</v>
          </cell>
          <cell r="E437" t="str">
            <v>N/A</v>
          </cell>
          <cell r="F437" t="str">
            <v>Decimal</v>
          </cell>
          <cell r="G437">
            <v>1.9326059999999999E-2</v>
          </cell>
          <cell r="H437">
            <v>1.878966E-2</v>
          </cell>
          <cell r="I437">
            <v>1.7480059999999999E-2</v>
          </cell>
          <cell r="J437">
            <v>1.533765E-2</v>
          </cell>
          <cell r="K437">
            <v>1.372544E-2</v>
          </cell>
          <cell r="L437">
            <v>1.301716E-2</v>
          </cell>
          <cell r="M437">
            <v>1.2496439999999999E-2</v>
          </cell>
          <cell r="N437">
            <v>1.1973549999999999E-2</v>
          </cell>
          <cell r="O437">
            <v>1.227901E-2</v>
          </cell>
          <cell r="P437">
            <v>1.295955E-2</v>
          </cell>
        </row>
        <row r="438">
          <cell r="A438" t="str">
            <v>IR.EUR.EURIBOR.6M.PAR#3Y</v>
          </cell>
          <cell r="B438" t="str">
            <v>EUROZONE 3Y SWAP RATE</v>
          </cell>
          <cell r="C438" t="str">
            <v>Interest Rate Risk</v>
          </cell>
          <cell r="D438">
            <v>1</v>
          </cell>
          <cell r="E438" t="str">
            <v>N/A</v>
          </cell>
          <cell r="F438" t="str">
            <v>Decimal</v>
          </cell>
          <cell r="G438">
            <v>2.5140200000000001E-3</v>
          </cell>
          <cell r="H438">
            <v>2.6726900000000001E-3</v>
          </cell>
          <cell r="I438">
            <v>2.7656999999999998E-3</v>
          </cell>
          <cell r="J438">
            <v>2.6738600000000001E-3</v>
          </cell>
          <cell r="K438">
            <v>2.5504799999999999E-3</v>
          </cell>
          <cell r="L438">
            <v>2.30094E-3</v>
          </cell>
          <cell r="M438">
            <v>2.32315E-3</v>
          </cell>
          <cell r="N438">
            <v>2.6413500000000002E-3</v>
          </cell>
          <cell r="O438">
            <v>3.0495000000000001E-3</v>
          </cell>
          <cell r="P438">
            <v>3.5265100000000001E-3</v>
          </cell>
        </row>
        <row r="439">
          <cell r="A439" t="str">
            <v>IR.EUR.EURIBOR.6M.PAR#40Y</v>
          </cell>
          <cell r="B439" t="str">
            <v>EUROZONE 40Y SWAP RATE</v>
          </cell>
          <cell r="C439" t="str">
            <v>Interest Rate Risk</v>
          </cell>
          <cell r="D439">
            <v>1</v>
          </cell>
          <cell r="E439" t="str">
            <v>N/A</v>
          </cell>
          <cell r="F439" t="str">
            <v>Decimal</v>
          </cell>
          <cell r="G439">
            <v>1.9494520000000001E-2</v>
          </cell>
          <cell r="H439">
            <v>1.893303E-2</v>
          </cell>
          <cell r="I439">
            <v>1.761884E-2</v>
          </cell>
          <cell r="J439">
            <v>1.54431E-2</v>
          </cell>
          <cell r="K439">
            <v>1.381626E-2</v>
          </cell>
          <cell r="L439">
            <v>1.3094959999999999E-2</v>
          </cell>
          <cell r="M439">
            <v>1.2554940000000001E-2</v>
          </cell>
          <cell r="N439">
            <v>1.2009519999999999E-2</v>
          </cell>
          <cell r="O439">
            <v>1.231353E-2</v>
          </cell>
          <cell r="P439">
            <v>1.2975840000000001E-2</v>
          </cell>
        </row>
        <row r="440">
          <cell r="A440" t="str">
            <v>IR.EUR.EURIBOR.6M.PAR#45Y</v>
          </cell>
          <cell r="B440" t="str">
            <v>EUROZONE 45Y SWAP RATE</v>
          </cell>
          <cell r="C440" t="str">
            <v>Interest Rate Risk</v>
          </cell>
          <cell r="D440">
            <v>1</v>
          </cell>
          <cell r="E440" t="str">
            <v>N/A</v>
          </cell>
          <cell r="F440" t="str">
            <v>Decimal</v>
          </cell>
          <cell r="G440">
            <v>1.962409E-2</v>
          </cell>
          <cell r="H440">
            <v>1.904345E-2</v>
          </cell>
          <cell r="I440">
            <v>1.772663E-2</v>
          </cell>
          <cell r="J440">
            <v>1.552537E-2</v>
          </cell>
          <cell r="K440">
            <v>1.388727E-2</v>
          </cell>
          <cell r="L440">
            <v>1.31559E-2</v>
          </cell>
          <cell r="M440">
            <v>1.259973E-2</v>
          </cell>
          <cell r="N440">
            <v>1.203686E-2</v>
          </cell>
          <cell r="O440">
            <v>1.233973E-2</v>
          </cell>
          <cell r="P440">
            <v>1.298787E-2</v>
          </cell>
        </row>
        <row r="441">
          <cell r="A441" t="str">
            <v>IR.EUR.EURIBOR.6M.PAR#50Y</v>
          </cell>
          <cell r="B441" t="str">
            <v>EUROZONE 50Y SWAP RATE</v>
          </cell>
          <cell r="C441" t="str">
            <v>Interest Rate Risk</v>
          </cell>
          <cell r="D441">
            <v>1</v>
          </cell>
          <cell r="E441" t="str">
            <v>N/A</v>
          </cell>
          <cell r="F441" t="str">
            <v>Decimal</v>
          </cell>
          <cell r="G441">
            <v>1.9726980000000002E-2</v>
          </cell>
          <cell r="H441">
            <v>1.913136E-2</v>
          </cell>
          <cell r="I441">
            <v>1.7811270000000001E-2</v>
          </cell>
          <cell r="J441">
            <v>1.5590100000000001E-2</v>
          </cell>
          <cell r="K441">
            <v>1.3943219999999999E-2</v>
          </cell>
          <cell r="L441">
            <v>1.3203889999999999E-2</v>
          </cell>
          <cell r="M441">
            <v>1.263543E-2</v>
          </cell>
          <cell r="N441">
            <v>1.205869E-2</v>
          </cell>
          <cell r="O441">
            <v>1.2360619999999999E-2</v>
          </cell>
          <cell r="P441">
            <v>1.2997470000000001E-2</v>
          </cell>
        </row>
        <row r="442">
          <cell r="A442" t="str">
            <v>IR.EUR.EURIBOR.6M.PAR#5Y</v>
          </cell>
          <cell r="B442" t="str">
            <v>EUROZONE 5Y SWAP RATE</v>
          </cell>
          <cell r="C442" t="str">
            <v>Interest Rate Risk</v>
          </cell>
          <cell r="D442">
            <v>1</v>
          </cell>
          <cell r="E442" t="str">
            <v>N/A</v>
          </cell>
          <cell r="F442" t="str">
            <v>Decimal</v>
          </cell>
          <cell r="G442">
            <v>4.4383399999999998E-3</v>
          </cell>
          <cell r="H442">
            <v>4.55705E-3</v>
          </cell>
          <cell r="I442">
            <v>4.2796400000000004E-3</v>
          </cell>
          <cell r="J442">
            <v>3.7343200000000002E-3</v>
          </cell>
          <cell r="K442">
            <v>3.4772399999999999E-3</v>
          </cell>
          <cell r="L442">
            <v>3.6644500000000001E-3</v>
          </cell>
          <cell r="M442">
            <v>4.00615E-3</v>
          </cell>
          <cell r="N442">
            <v>4.3570800000000002E-3</v>
          </cell>
          <cell r="O442">
            <v>5.1368200000000003E-3</v>
          </cell>
          <cell r="P442">
            <v>6.1735999999999996E-3</v>
          </cell>
        </row>
        <row r="443">
          <cell r="A443" t="str">
            <v>IR.EUR.EURIBOR.6M.PAR#75Y</v>
          </cell>
          <cell r="B443" t="str">
            <v>EUROZONE 75Y SWAP RATE</v>
          </cell>
          <cell r="C443" t="str">
            <v>Interest Rate Risk</v>
          </cell>
          <cell r="D443">
            <v>1</v>
          </cell>
          <cell r="E443" t="str">
            <v>N/A</v>
          </cell>
          <cell r="F443" t="str">
            <v>Decimal</v>
          </cell>
          <cell r="G443">
            <v>2.0018970000000001E-2</v>
          </cell>
          <cell r="H443">
            <v>1.9381720000000002E-2</v>
          </cell>
          <cell r="I443">
            <v>1.80559E-2</v>
          </cell>
          <cell r="J443">
            <v>1.5779319999999999E-2</v>
          </cell>
          <cell r="K443">
            <v>1.410785E-2</v>
          </cell>
          <cell r="L443">
            <v>1.3345549999999999E-2</v>
          </cell>
          <cell r="M443">
            <v>1.274117E-2</v>
          </cell>
          <cell r="N443">
            <v>1.212359E-2</v>
          </cell>
          <cell r="O443">
            <v>1.242273E-2</v>
          </cell>
          <cell r="P443">
            <v>1.302615E-2</v>
          </cell>
        </row>
        <row r="444">
          <cell r="A444" t="str">
            <v>IR.EUR.EURIBOR.6M.PAR#7Y</v>
          </cell>
          <cell r="B444" t="str">
            <v>EUROZONE 7Y SWAP RATE</v>
          </cell>
          <cell r="C444" t="str">
            <v>Interest Rate Risk</v>
          </cell>
          <cell r="D444">
            <v>1</v>
          </cell>
          <cell r="E444" t="str">
            <v>N/A</v>
          </cell>
          <cell r="F444" t="str">
            <v>Decimal</v>
          </cell>
          <cell r="G444">
            <v>7.22231E-3</v>
          </cell>
          <cell r="H444">
            <v>7.3281700000000002E-3</v>
          </cell>
          <cell r="I444">
            <v>6.8281699999999997E-3</v>
          </cell>
          <cell r="J444">
            <v>5.9281400000000001E-3</v>
          </cell>
          <cell r="K444">
            <v>5.3520099999999999E-3</v>
          </cell>
          <cell r="L444">
            <v>5.3918300000000002E-3</v>
          </cell>
          <cell r="M444">
            <v>5.61196E-3</v>
          </cell>
          <cell r="N444">
            <v>5.83557E-3</v>
          </cell>
          <cell r="O444">
            <v>6.5722200000000001E-3</v>
          </cell>
          <cell r="P444">
            <v>7.6516900000000001E-3</v>
          </cell>
        </row>
        <row r="445">
          <cell r="A445" t="str">
            <v>IR.EUR.EURIBOR.6M.SIMPLE#12M</v>
          </cell>
          <cell r="B445" t="str">
            <v>EUROZONE 12M EURIBOR RATE</v>
          </cell>
          <cell r="C445" t="str">
            <v>Interest Rate Risk</v>
          </cell>
          <cell r="D445">
            <v>1</v>
          </cell>
          <cell r="E445" t="str">
            <v>N/A</v>
          </cell>
          <cell r="F445" t="str">
            <v>Decimal</v>
          </cell>
          <cell r="G445">
            <v>1.73632E-3</v>
          </cell>
          <cell r="H445">
            <v>1.6957299999999999E-3</v>
          </cell>
          <cell r="I445">
            <v>1.7017E-3</v>
          </cell>
          <cell r="J445">
            <v>1.8207500000000001E-3</v>
          </cell>
          <cell r="K445">
            <v>2.0445200000000002E-3</v>
          </cell>
          <cell r="L445">
            <v>2.36038E-3</v>
          </cell>
          <cell r="M445">
            <v>2.7503200000000001E-3</v>
          </cell>
          <cell r="N445">
            <v>3.1895600000000001E-3</v>
          </cell>
          <cell r="O445">
            <v>3.6529100000000001E-3</v>
          </cell>
          <cell r="P445">
            <v>4.1136999999999996E-3</v>
          </cell>
        </row>
        <row r="446">
          <cell r="A446" t="str">
            <v>IR.EUR.EURIBOR.6M.SIMPLE#1M</v>
          </cell>
          <cell r="B446" t="str">
            <v>EUROZONE 1M EURIBOR RATE</v>
          </cell>
          <cell r="C446" t="str">
            <v>Interest Rate Risk</v>
          </cell>
          <cell r="D446">
            <v>1</v>
          </cell>
          <cell r="E446" t="str">
            <v>N/A</v>
          </cell>
          <cell r="F446" t="str">
            <v>Decimal</v>
          </cell>
          <cell r="G446">
            <v>1.84071E-3</v>
          </cell>
          <cell r="H446">
            <v>1.83987E-3</v>
          </cell>
          <cell r="I446">
            <v>1.6975499999999999E-3</v>
          </cell>
          <cell r="J446">
            <v>1.60972E-3</v>
          </cell>
          <cell r="K446">
            <v>1.6378499999999999E-3</v>
          </cell>
          <cell r="L446">
            <v>1.7855099999999999E-3</v>
          </cell>
          <cell r="M446">
            <v>2.0361400000000001E-3</v>
          </cell>
          <cell r="N446">
            <v>2.35783E-3</v>
          </cell>
          <cell r="O446">
            <v>2.77253E-3</v>
          </cell>
          <cell r="P446">
            <v>3.2371000000000001E-3</v>
          </cell>
        </row>
        <row r="447">
          <cell r="A447" t="str">
            <v>IR.EUR.EURIBOR.6M.SIMPLE#3M</v>
          </cell>
          <cell r="B447" t="str">
            <v>EUROZONE 3M EURIBOR RATE</v>
          </cell>
          <cell r="C447" t="str">
            <v>Interest Rate Risk</v>
          </cell>
          <cell r="D447">
            <v>1</v>
          </cell>
          <cell r="E447" t="str">
            <v>N/A</v>
          </cell>
          <cell r="F447" t="str">
            <v>Decimal</v>
          </cell>
          <cell r="G447">
            <v>1.8404300000000001E-3</v>
          </cell>
          <cell r="H447">
            <v>1.8395799999999999E-3</v>
          </cell>
          <cell r="I447">
            <v>1.6599E-3</v>
          </cell>
          <cell r="J447">
            <v>1.6068E-3</v>
          </cell>
          <cell r="K447">
            <v>1.67936E-3</v>
          </cell>
          <cell r="L447">
            <v>1.86203E-3</v>
          </cell>
          <cell r="M447">
            <v>2.1387699999999999E-3</v>
          </cell>
          <cell r="N447">
            <v>2.4970399999999998E-3</v>
          </cell>
          <cell r="O447">
            <v>2.9360200000000001E-3</v>
          </cell>
          <cell r="P447">
            <v>3.4379900000000001E-3</v>
          </cell>
        </row>
        <row r="448">
          <cell r="A448" t="str">
            <v>IR.EUR.EURIBOR.6M.SIMPLE#6M</v>
          </cell>
          <cell r="B448" t="str">
            <v>EUROZONE 6M EURIBOR RATE</v>
          </cell>
          <cell r="C448" t="str">
            <v>Interest Rate Risk</v>
          </cell>
          <cell r="D448">
            <v>1</v>
          </cell>
          <cell r="E448" t="str">
            <v>N/A</v>
          </cell>
          <cell r="F448" t="str">
            <v>Decimal</v>
          </cell>
          <cell r="G448">
            <v>1.84001E-3</v>
          </cell>
          <cell r="H448">
            <v>1.74924E-3</v>
          </cell>
          <cell r="I448">
            <v>1.63321E-3</v>
          </cell>
          <cell r="J448">
            <v>1.6430800000000001E-3</v>
          </cell>
          <cell r="K448">
            <v>1.77019E-3</v>
          </cell>
          <cell r="L448">
            <v>2.0003899999999999E-3</v>
          </cell>
          <cell r="M448">
            <v>2.3188800000000002E-3</v>
          </cell>
          <cell r="N448">
            <v>2.71652E-3</v>
          </cell>
          <cell r="O448">
            <v>3.1842300000000001E-3</v>
          </cell>
          <cell r="P448">
            <v>3.6705599999999998E-3</v>
          </cell>
        </row>
        <row r="449">
          <cell r="A449" t="str">
            <v>IR.EUR.GOVT.NOMINAL.PAR#100Y</v>
          </cell>
          <cell r="B449" t="str">
            <v>EUROZONE GOVT 100Y PAR RATE (EUROZONE GOVT rates refer to German treasury bonds)</v>
          </cell>
          <cell r="C449" t="str">
            <v>Interest Rate Risk</v>
          </cell>
          <cell r="D449">
            <v>1</v>
          </cell>
          <cell r="E449" t="str">
            <v>N/A</v>
          </cell>
          <cell r="F449" t="str">
            <v>Decimal</v>
          </cell>
          <cell r="G449">
            <v>2.0313589999999999E-2</v>
          </cell>
          <cell r="H449">
            <v>1.9570290000000001E-2</v>
          </cell>
          <cell r="I449">
            <v>1.8140819999999998E-2</v>
          </cell>
          <cell r="J449">
            <v>1.573134E-2</v>
          </cell>
          <cell r="K449">
            <v>1.392762E-2</v>
          </cell>
          <cell r="L449">
            <v>1.3029000000000001E-2</v>
          </cell>
          <cell r="M449">
            <v>1.228158E-2</v>
          </cell>
          <cell r="N449">
            <v>1.1516449999999999E-2</v>
          </cell>
          <cell r="O449">
            <v>1.16899E-2</v>
          </cell>
          <cell r="P449">
            <v>1.215314E-2</v>
          </cell>
        </row>
        <row r="450">
          <cell r="A450" t="str">
            <v>IR.EUR.GOVT.NOMINAL.PAR#10Y</v>
          </cell>
          <cell r="B450" t="str">
            <v>EUROZONE GOVT 10Y PAR RATE (EUROZONE GOVT rates refer to German treasury bonds)</v>
          </cell>
          <cell r="C450" t="str">
            <v>Interest Rate Risk</v>
          </cell>
          <cell r="D450">
            <v>1</v>
          </cell>
          <cell r="E450" t="str">
            <v>N/A</v>
          </cell>
          <cell r="F450" t="str">
            <v>Decimal</v>
          </cell>
          <cell r="G450">
            <v>9.7572100000000005E-3</v>
          </cell>
          <cell r="H450">
            <v>9.9006500000000004E-3</v>
          </cell>
          <cell r="I450">
            <v>9.1629699999999994E-3</v>
          </cell>
          <cell r="J450">
            <v>7.8544700000000005E-3</v>
          </cell>
          <cell r="K450">
            <v>6.9531699999999998E-3</v>
          </cell>
          <cell r="L450">
            <v>6.9556599999999998E-3</v>
          </cell>
          <cell r="M450">
            <v>7.2067099999999999E-3</v>
          </cell>
          <cell r="N450">
            <v>7.4691999999999996E-3</v>
          </cell>
          <cell r="O450">
            <v>8.3894099999999999E-3</v>
          </cell>
          <cell r="P450">
            <v>9.7938399999999998E-3</v>
          </cell>
        </row>
        <row r="451">
          <cell r="A451" t="str">
            <v>IR.EUR.GOVT.NOMINAL.PAR#15Y</v>
          </cell>
          <cell r="B451" t="str">
            <v>EUROZONE GOVT 15Y PAR RATE (EUROZONE GOVT rates refer to German treasury bonds)</v>
          </cell>
          <cell r="C451" t="str">
            <v>Interest Rate Risk</v>
          </cell>
          <cell r="D451">
            <v>1</v>
          </cell>
          <cell r="E451" t="str">
            <v>N/A</v>
          </cell>
          <cell r="F451" t="str">
            <v>Decimal</v>
          </cell>
          <cell r="G451">
            <v>1.6469319999999999E-2</v>
          </cell>
          <cell r="H451">
            <v>1.61461E-2</v>
          </cell>
          <cell r="I451">
            <v>1.492136E-2</v>
          </cell>
          <cell r="J451">
            <v>1.3041209999999999E-2</v>
          </cell>
          <cell r="K451">
            <v>1.1574259999999999E-2</v>
          </cell>
          <cell r="L451">
            <v>1.100335E-2</v>
          </cell>
          <cell r="M451">
            <v>1.0669990000000001E-2</v>
          </cell>
          <cell r="N451">
            <v>1.035548E-2</v>
          </cell>
          <cell r="O451">
            <v>1.075399E-2</v>
          </cell>
          <cell r="P451">
            <v>1.164283E-2</v>
          </cell>
        </row>
        <row r="452">
          <cell r="A452" t="str">
            <v>IR.EUR.GOVT.NOMINAL.PAR#20Y</v>
          </cell>
          <cell r="B452" t="str">
            <v>EUROZONE GOVT 20Y PAR RATE (EUROZONE GOVT rates refer to German treasury bonds)</v>
          </cell>
          <cell r="C452" t="str">
            <v>Interest Rate Risk</v>
          </cell>
          <cell r="D452">
            <v>1</v>
          </cell>
          <cell r="E452" t="str">
            <v>N/A</v>
          </cell>
          <cell r="F452" t="str">
            <v>Decimal</v>
          </cell>
          <cell r="G452">
            <v>1.729373E-2</v>
          </cell>
          <cell r="H452">
            <v>1.6910069999999999E-2</v>
          </cell>
          <cell r="I452">
            <v>1.5666590000000001E-2</v>
          </cell>
          <cell r="J452">
            <v>1.372693E-2</v>
          </cell>
          <cell r="K452">
            <v>1.223436E-2</v>
          </cell>
          <cell r="L452">
            <v>1.16416E-2</v>
          </cell>
          <cell r="M452">
            <v>1.12748E-2</v>
          </cell>
          <cell r="N452">
            <v>1.0920620000000001E-2</v>
          </cell>
          <cell r="O452">
            <v>1.130837E-2</v>
          </cell>
          <cell r="P452">
            <v>1.215478E-2</v>
          </cell>
        </row>
        <row r="453">
          <cell r="A453" t="str">
            <v>IR.EUR.GOVT.NOMINAL.PAR#2Y</v>
          </cell>
          <cell r="B453" t="str">
            <v>EUROZONE GOVT 2Y PAR RATE (EUROZONE GOVT rates refer to German treasury bonds)</v>
          </cell>
          <cell r="C453" t="str">
            <v>Interest Rate Risk</v>
          </cell>
          <cell r="D453">
            <v>1</v>
          </cell>
          <cell r="E453" t="str">
            <v>N/A</v>
          </cell>
          <cell r="F453" t="str">
            <v>Decimal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</row>
        <row r="454">
          <cell r="A454" t="str">
            <v>IR.EUR.GOVT.NOMINAL.PAR#30Y</v>
          </cell>
          <cell r="B454" t="str">
            <v>EUROZONE GOVT 30Y PAR RATE (EUROZONE GOVT rates refer to German treasury bonds)</v>
          </cell>
          <cell r="C454" t="str">
            <v>Interest Rate Risk</v>
          </cell>
          <cell r="D454">
            <v>1</v>
          </cell>
          <cell r="E454" t="str">
            <v>N/A</v>
          </cell>
          <cell r="F454" t="str">
            <v>Decimal</v>
          </cell>
          <cell r="G454">
            <v>1.8693370000000001E-2</v>
          </cell>
          <cell r="H454">
            <v>1.8193919999999999E-2</v>
          </cell>
          <cell r="I454">
            <v>1.6891880000000001E-2</v>
          </cell>
          <cell r="J454">
            <v>1.479492E-2</v>
          </cell>
          <cell r="K454">
            <v>1.320237E-2</v>
          </cell>
          <cell r="L454">
            <v>1.2513069999999999E-2</v>
          </cell>
          <cell r="M454">
            <v>1.202374E-2</v>
          </cell>
          <cell r="N454">
            <v>1.153587E-2</v>
          </cell>
          <cell r="O454">
            <v>1.1852690000000001E-2</v>
          </cell>
          <cell r="P454">
            <v>1.257142E-2</v>
          </cell>
        </row>
        <row r="455">
          <cell r="A455" t="str">
            <v>IR.EUR.GOVT.NOMINAL.PAR#35Y</v>
          </cell>
          <cell r="B455" t="str">
            <v>EUROZONE GOVT 35Y PAR RATE (EUROZONE GOVT rates refer to German treasury bonds)</v>
          </cell>
          <cell r="C455" t="str">
            <v>Interest Rate Risk</v>
          </cell>
          <cell r="D455">
            <v>1</v>
          </cell>
          <cell r="E455" t="str">
            <v>N/A</v>
          </cell>
          <cell r="F455" t="str">
            <v>Decimal</v>
          </cell>
          <cell r="G455">
            <v>1.9047939999999999E-2</v>
          </cell>
          <cell r="H455">
            <v>1.8492399999999999E-2</v>
          </cell>
          <cell r="I455">
            <v>1.716001E-2</v>
          </cell>
          <cell r="J455">
            <v>1.49926E-2</v>
          </cell>
          <cell r="K455">
            <v>1.335386E-2</v>
          </cell>
          <cell r="L455">
            <v>1.262019E-2</v>
          </cell>
          <cell r="M455">
            <v>1.207691E-2</v>
          </cell>
          <cell r="N455">
            <v>1.153174E-2</v>
          </cell>
          <cell r="O455">
            <v>1.1819069999999999E-2</v>
          </cell>
          <cell r="P455">
            <v>1.2485339999999999E-2</v>
          </cell>
        </row>
        <row r="456">
          <cell r="A456" t="str">
            <v>IR.EUR.GOVT.NOMINAL.PAR#3Y</v>
          </cell>
          <cell r="B456" t="str">
            <v>EUROZONE GOVT 3Y PAR RATE (EUROZONE GOVT rates refer to German treasury bonds)</v>
          </cell>
          <cell r="C456" t="str">
            <v>Interest Rate Risk</v>
          </cell>
          <cell r="D456">
            <v>1</v>
          </cell>
          <cell r="E456" t="str">
            <v>N/A</v>
          </cell>
          <cell r="F456" t="str">
            <v>Decimal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</row>
        <row r="457">
          <cell r="A457" t="str">
            <v>IR.EUR.GOVT.NOMINAL.PAR#40Y</v>
          </cell>
          <cell r="B457" t="str">
            <v>EUROZONE GOVT 40Y PAR RATE (EUROZONE GOVT rates refer to German treasury bonds)</v>
          </cell>
          <cell r="C457" t="str">
            <v>Interest Rate Risk</v>
          </cell>
          <cell r="D457">
            <v>1</v>
          </cell>
          <cell r="E457" t="str">
            <v>N/A</v>
          </cell>
          <cell r="F457" t="str">
            <v>Decimal</v>
          </cell>
          <cell r="G457">
            <v>1.931041E-2</v>
          </cell>
          <cell r="H457">
            <v>1.871401E-2</v>
          </cell>
          <cell r="I457">
            <v>1.735952E-2</v>
          </cell>
          <cell r="J457">
            <v>1.5140239999999999E-2</v>
          </cell>
          <cell r="K457">
            <v>1.346725E-2</v>
          </cell>
          <cell r="L457">
            <v>1.270048E-2</v>
          </cell>
          <cell r="M457">
            <v>1.2117009999999999E-2</v>
          </cell>
          <cell r="N457">
            <v>1.152894E-2</v>
          </cell>
          <cell r="O457">
            <v>1.1794260000000001E-2</v>
          </cell>
          <cell r="P457">
            <v>1.242121E-2</v>
          </cell>
        </row>
        <row r="458">
          <cell r="A458" t="str">
            <v>IR.EUR.GOVT.NOMINAL.PAR#45Y</v>
          </cell>
          <cell r="B458" t="str">
            <v>EUROZONE GOVT 45Y PAR RATE (EUROZONE GOVT rates refer to German treasury bonds)</v>
          </cell>
          <cell r="C458" t="str">
            <v>Interest Rate Risk</v>
          </cell>
          <cell r="D458">
            <v>1</v>
          </cell>
          <cell r="E458" t="str">
            <v>N/A</v>
          </cell>
          <cell r="F458" t="str">
            <v>Decimal</v>
          </cell>
          <cell r="G458">
            <v>1.95116E-2</v>
          </cell>
          <cell r="H458">
            <v>1.8884250000000002E-2</v>
          </cell>
          <cell r="I458">
            <v>1.7513379999999999E-2</v>
          </cell>
          <cell r="J458">
            <v>1.5254739999999999E-2</v>
          </cell>
          <cell r="K458">
            <v>1.3555599999999999E-2</v>
          </cell>
          <cell r="L458">
            <v>1.276337E-2</v>
          </cell>
          <cell r="M458">
            <v>1.214842E-2</v>
          </cell>
          <cell r="N458">
            <v>1.152677E-2</v>
          </cell>
          <cell r="O458">
            <v>1.1774690000000001E-2</v>
          </cell>
          <cell r="P458">
            <v>1.237074E-2</v>
          </cell>
        </row>
        <row r="459">
          <cell r="A459" t="str">
            <v>IR.EUR.GOVT.NOMINAL.PAR#50Y</v>
          </cell>
          <cell r="B459" t="str">
            <v>EUROZONE GOVT 50Y PAR RATE (EUROZONE GOVT rates refer to German treasury bonds)</v>
          </cell>
          <cell r="C459" t="str">
            <v>Interest Rate Risk</v>
          </cell>
          <cell r="D459">
            <v>1</v>
          </cell>
          <cell r="E459" t="str">
            <v>N/A</v>
          </cell>
          <cell r="F459" t="str">
            <v>Decimal</v>
          </cell>
          <cell r="G459">
            <v>1.9670389999999999E-2</v>
          </cell>
          <cell r="H459">
            <v>1.9019129999999999E-2</v>
          </cell>
          <cell r="I459">
            <v>1.76352E-2</v>
          </cell>
          <cell r="J459">
            <v>1.5345549999999999E-2</v>
          </cell>
          <cell r="K459">
            <v>1.362559E-2</v>
          </cell>
          <cell r="L459">
            <v>1.281295E-2</v>
          </cell>
          <cell r="M459">
            <v>1.2173109999999999E-2</v>
          </cell>
          <cell r="N459">
            <v>1.152479E-2</v>
          </cell>
          <cell r="O459">
            <v>1.1758930000000001E-2</v>
          </cell>
          <cell r="P459">
            <v>1.23304E-2</v>
          </cell>
        </row>
        <row r="460">
          <cell r="A460" t="str">
            <v>IR.EUR.GOVT.NOMINAL.PAR#5Y</v>
          </cell>
          <cell r="B460" t="str">
            <v>EUROZONE GOVT 5Y PAR RATE (EUROZONE GOVT rates refer to German treasury bonds)</v>
          </cell>
          <cell r="C460" t="str">
            <v>Interest Rate Risk</v>
          </cell>
          <cell r="D460">
            <v>1</v>
          </cell>
          <cell r="E460" t="str">
            <v>N/A</v>
          </cell>
          <cell r="F460" t="str">
            <v>Decimal</v>
          </cell>
          <cell r="G460">
            <v>1.45437E-3</v>
          </cell>
          <cell r="H460">
            <v>1.59991E-3</v>
          </cell>
          <cell r="I460">
            <v>1.3692800000000001E-3</v>
          </cell>
          <cell r="J460">
            <v>8.7686000000000003E-4</v>
          </cell>
          <cell r="K460">
            <v>6.7274000000000001E-4</v>
          </cell>
          <cell r="L460">
            <v>9.1047000000000003E-4</v>
          </cell>
          <cell r="M460">
            <v>1.3015100000000001E-3</v>
          </cell>
          <cell r="N460">
            <v>1.6910499999999999E-3</v>
          </cell>
          <cell r="O460">
            <v>2.5016999999999999E-3</v>
          </cell>
          <cell r="P460">
            <v>3.5605900000000002E-3</v>
          </cell>
        </row>
        <row r="461">
          <cell r="A461" t="str">
            <v>IR.EUR.GOVT.NOMINAL.PAR#75Y</v>
          </cell>
          <cell r="B461" t="str">
            <v>EUROZONE GOVT 75Y PAR RATE (EUROZONE GOVT rates refer to German treasury bonds)</v>
          </cell>
          <cell r="C461" t="str">
            <v>Interest Rate Risk</v>
          </cell>
          <cell r="D461">
            <v>1</v>
          </cell>
          <cell r="E461" t="str">
            <v>N/A</v>
          </cell>
          <cell r="F461" t="str">
            <v>Decimal</v>
          </cell>
          <cell r="G461">
            <v>2.011926E-2</v>
          </cell>
          <cell r="H461">
            <v>1.940209E-2</v>
          </cell>
          <cell r="I461">
            <v>1.7984449999999999E-2</v>
          </cell>
          <cell r="J461">
            <v>1.560953E-2</v>
          </cell>
          <cell r="K461">
            <v>1.3831019999999999E-2</v>
          </cell>
          <cell r="L461">
            <v>1.2959480000000001E-2</v>
          </cell>
          <cell r="M461">
            <v>1.224651E-2</v>
          </cell>
          <cell r="N461">
            <v>1.151924E-2</v>
          </cell>
          <cell r="O461">
            <v>1.1712439999999999E-2</v>
          </cell>
          <cell r="P461">
            <v>1.22109E-2</v>
          </cell>
        </row>
        <row r="462">
          <cell r="A462" t="str">
            <v>IR.EUR.GOVT.NOMINAL.PAR#7Y</v>
          </cell>
          <cell r="B462" t="str">
            <v>EUROZONE GOVT 7Y PAR RATE (EUROZONE GOVT rates refer to German treasury bonds)</v>
          </cell>
          <cell r="C462" t="str">
            <v>Interest Rate Risk</v>
          </cell>
          <cell r="D462">
            <v>1</v>
          </cell>
          <cell r="E462" t="str">
            <v>N/A</v>
          </cell>
          <cell r="F462" t="str">
            <v>Decimal</v>
          </cell>
          <cell r="G462">
            <v>4.80607E-3</v>
          </cell>
          <cell r="H462">
            <v>4.8897400000000001E-3</v>
          </cell>
          <cell r="I462">
            <v>4.3523099999999999E-3</v>
          </cell>
          <cell r="J462">
            <v>3.4032699999999999E-3</v>
          </cell>
          <cell r="K462">
            <v>2.78188E-3</v>
          </cell>
          <cell r="L462">
            <v>2.7979200000000002E-3</v>
          </cell>
          <cell r="M462">
            <v>3.0309099999999999E-3</v>
          </cell>
          <cell r="N462">
            <v>3.30679E-3</v>
          </cell>
          <cell r="O462">
            <v>4.1522399999999998E-3</v>
          </cell>
          <cell r="P462">
            <v>5.4071900000000001E-3</v>
          </cell>
        </row>
        <row r="463">
          <cell r="A463" t="str">
            <v>IR.EUR.GOVT.NOMINAL.SIMPLE#12M</v>
          </cell>
          <cell r="B463" t="str">
            <v>EUROZONE GOVT 12M SIMPLE RATE (EUROZONE GOVT rates refer to German treasury bonds)</v>
          </cell>
          <cell r="C463" t="str">
            <v>Interest Rate Risk</v>
          </cell>
          <cell r="D463">
            <v>1</v>
          </cell>
          <cell r="E463" t="str">
            <v>N/A</v>
          </cell>
          <cell r="F463" t="str">
            <v>Decimal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</row>
        <row r="464">
          <cell r="A464" t="str">
            <v>IR.EUR.GOVT.NOMINAL.SIMPLE#1M</v>
          </cell>
          <cell r="B464" t="str">
            <v>EUROZONE GOVT 1M SIMPLE RATE (EUROZONE GOVT rates refer to German treasury bonds)</v>
          </cell>
          <cell r="C464" t="str">
            <v>Interest Rate Risk</v>
          </cell>
          <cell r="D464">
            <v>1</v>
          </cell>
          <cell r="E464" t="str">
            <v>N/A</v>
          </cell>
          <cell r="F464" t="str">
            <v>Decimal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</row>
        <row r="465">
          <cell r="A465" t="str">
            <v>IR.EUR.GOVT.NOMINAL.SIMPLE#3M</v>
          </cell>
          <cell r="B465" t="str">
            <v>EUROZONE GOVT 3M SIMPLE RATE (EUROZONE GOVT rates refer to German treasury bonds)</v>
          </cell>
          <cell r="C465" t="str">
            <v>Interest Rate Risk</v>
          </cell>
          <cell r="D465">
            <v>1</v>
          </cell>
          <cell r="E465" t="str">
            <v>N/A</v>
          </cell>
          <cell r="F465" t="str">
            <v>Decimal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</row>
        <row r="466">
          <cell r="A466" t="str">
            <v>IR.EUR.GOVT.NOMINAL.SIMPLE#6M</v>
          </cell>
          <cell r="B466" t="str">
            <v>EUROZONE GOVT 6M SIMPLE RATE (EUROZONE GOVT rates refer to German treasury bonds)</v>
          </cell>
          <cell r="C466" t="str">
            <v>Interest Rate Risk</v>
          </cell>
          <cell r="D466">
            <v>1</v>
          </cell>
          <cell r="E466" t="str">
            <v>N/A</v>
          </cell>
          <cell r="F466" t="str">
            <v>Decimal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</row>
        <row r="467">
          <cell r="A467" t="str">
            <v>IR.EUR.GOVT.NOMINAL.SIMPLE.CBPOLICY</v>
          </cell>
          <cell r="B467" t="str">
            <v>EUROZONE CENTRAL BANK POLICY RATE</v>
          </cell>
          <cell r="C467" t="str">
            <v>Interest Rate Risk</v>
          </cell>
          <cell r="D467">
            <v>1</v>
          </cell>
          <cell r="E467" t="str">
            <v>N/A</v>
          </cell>
          <cell r="F467" t="str">
            <v>Decimal</v>
          </cell>
          <cell r="G467">
            <v>1.2999999999999999E-3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</row>
        <row r="468">
          <cell r="A468" t="str">
            <v>IR.USD.GOVT.NOMINAL.PAR#100Y</v>
          </cell>
          <cell r="B468" t="str">
            <v>UNITED STATES GOVT 100Y PAR RATE</v>
          </cell>
          <cell r="C468" t="str">
            <v>Interest Rate Risk</v>
          </cell>
          <cell r="D468">
            <v>1</v>
          </cell>
          <cell r="E468" t="str">
            <v>N/A</v>
          </cell>
          <cell r="F468" t="str">
            <v>Decimal</v>
          </cell>
          <cell r="G468">
            <v>3.3262100000000003E-2</v>
          </cell>
          <cell r="H468">
            <v>3.2525459999999999E-2</v>
          </cell>
          <cell r="I468">
            <v>2.925556E-2</v>
          </cell>
          <cell r="J468">
            <v>2.4660919999999999E-2</v>
          </cell>
          <cell r="K468">
            <v>2.2318080000000001E-2</v>
          </cell>
          <cell r="L468">
            <v>2.0901329999999999E-2</v>
          </cell>
          <cell r="M468">
            <v>1.9476259999999999E-2</v>
          </cell>
          <cell r="N468">
            <v>1.822033E-2</v>
          </cell>
          <cell r="O468">
            <v>2.0596630000000001E-2</v>
          </cell>
          <cell r="P468">
            <v>2.2992220000000001E-2</v>
          </cell>
        </row>
        <row r="469">
          <cell r="A469" t="str">
            <v>IR.USD.GOVT.NOMINAL.PAR#10Y</v>
          </cell>
          <cell r="B469" t="str">
            <v>UNITED STATES GOVT 10Y PAR RATE</v>
          </cell>
          <cell r="C469" t="str">
            <v>Interest Rate Risk</v>
          </cell>
          <cell r="D469">
            <v>1</v>
          </cell>
          <cell r="E469" t="str">
            <v>N/A</v>
          </cell>
          <cell r="F469" t="str">
            <v>Decimal</v>
          </cell>
          <cell r="G469">
            <v>2.4966550000000001E-2</v>
          </cell>
          <cell r="H469">
            <v>2.3094480000000001E-2</v>
          </cell>
          <cell r="I469">
            <v>1.9816609999999998E-2</v>
          </cell>
          <cell r="J469">
            <v>1.480076E-2</v>
          </cell>
          <cell r="K469">
            <v>1.2977529999999999E-2</v>
          </cell>
          <cell r="L469">
            <v>1.2280640000000001E-2</v>
          </cell>
          <cell r="M469">
            <v>1.119214E-2</v>
          </cell>
          <cell r="N469">
            <v>1.0323219999999999E-2</v>
          </cell>
          <cell r="O469">
            <v>1.18802E-2</v>
          </cell>
          <cell r="P469">
            <v>1.348677E-2</v>
          </cell>
        </row>
        <row r="470">
          <cell r="A470" t="str">
            <v>IR.USD.GOVT.NOMINAL.PAR#15Y</v>
          </cell>
          <cell r="B470" t="str">
            <v>UNITED STATES GOVT 15Y PAR RATE</v>
          </cell>
          <cell r="C470" t="str">
            <v>Interest Rate Risk</v>
          </cell>
          <cell r="D470">
            <v>1</v>
          </cell>
          <cell r="E470" t="str">
            <v>N/A</v>
          </cell>
          <cell r="F470" t="str">
            <v>Decimal</v>
          </cell>
          <cell r="G470">
            <v>2.8127880000000001E-2</v>
          </cell>
          <cell r="H470">
            <v>2.6460580000000001E-2</v>
          </cell>
          <cell r="I470">
            <v>2.3183260000000001E-2</v>
          </cell>
          <cell r="J470">
            <v>1.8253019999999998E-2</v>
          </cell>
          <cell r="K470">
            <v>1.6338180000000001E-2</v>
          </cell>
          <cell r="L470">
            <v>1.5510970000000001E-2</v>
          </cell>
          <cell r="M470">
            <v>1.4377010000000001E-2</v>
          </cell>
          <cell r="N470">
            <v>1.3460400000000001E-2</v>
          </cell>
          <cell r="O470">
            <v>1.5163980000000001E-2</v>
          </cell>
          <cell r="P470">
            <v>1.6919710000000001E-2</v>
          </cell>
        </row>
        <row r="471">
          <cell r="A471" t="str">
            <v>IR.USD.GOVT.NOMINAL.PAR#20Y</v>
          </cell>
          <cell r="B471" t="str">
            <v>UNITED STATES GOVT 20Y PAR RATE</v>
          </cell>
          <cell r="C471" t="str">
            <v>Interest Rate Risk</v>
          </cell>
          <cell r="D471">
            <v>1</v>
          </cell>
          <cell r="E471" t="str">
            <v>N/A</v>
          </cell>
          <cell r="F471" t="str">
            <v>Decimal</v>
          </cell>
          <cell r="G471">
            <v>3.031406E-2</v>
          </cell>
          <cell r="H471">
            <v>2.8903410000000001E-2</v>
          </cell>
          <cell r="I471">
            <v>2.5679670000000002E-2</v>
          </cell>
          <cell r="J471">
            <v>2.0890530000000001E-2</v>
          </cell>
          <cell r="K471">
            <v>1.893833E-2</v>
          </cell>
          <cell r="L471">
            <v>1.8027230000000002E-2</v>
          </cell>
          <cell r="M471">
            <v>1.6885219999999999E-2</v>
          </cell>
          <cell r="N471">
            <v>1.5945290000000001E-2</v>
          </cell>
          <cell r="O471">
            <v>1.7811489999999999E-2</v>
          </cell>
          <cell r="P471">
            <v>1.9726049999999998E-2</v>
          </cell>
        </row>
        <row r="472">
          <cell r="A472" t="str">
            <v>IR.USD.GOVT.NOMINAL.PAR#2Y</v>
          </cell>
          <cell r="B472" t="str">
            <v>UNITED STATES GOVT 2Y PAR RATE</v>
          </cell>
          <cell r="C472" t="str">
            <v>Interest Rate Risk</v>
          </cell>
          <cell r="D472">
            <v>1</v>
          </cell>
          <cell r="E472" t="str">
            <v>N/A</v>
          </cell>
          <cell r="F472" t="str">
            <v>Decimal</v>
          </cell>
          <cell r="G472">
            <v>5.6924899999999997E-3</v>
          </cell>
          <cell r="H472">
            <v>3.2784400000000001E-3</v>
          </cell>
          <cell r="I472">
            <v>2.02338E-3</v>
          </cell>
          <cell r="J472">
            <v>0</v>
          </cell>
          <cell r="K472">
            <v>0</v>
          </cell>
          <cell r="L472">
            <v>4.4894999999999999E-4</v>
          </cell>
          <cell r="M472">
            <v>4.5919E-4</v>
          </cell>
          <cell r="N472">
            <v>5.3213999999999996E-4</v>
          </cell>
          <cell r="O472">
            <v>1.0153999999999999E-4</v>
          </cell>
          <cell r="P472">
            <v>0</v>
          </cell>
        </row>
        <row r="473">
          <cell r="A473" t="str">
            <v>IR.USD.GOVT.NOMINAL.PAR#30Y</v>
          </cell>
          <cell r="B473" t="str">
            <v>UNITED STATES GOVT 30Y PAR RATE</v>
          </cell>
          <cell r="C473" t="str">
            <v>Interest Rate Risk</v>
          </cell>
          <cell r="D473">
            <v>1</v>
          </cell>
          <cell r="E473" t="str">
            <v>N/A</v>
          </cell>
          <cell r="F473" t="str">
            <v>Decimal</v>
          </cell>
          <cell r="G473">
            <v>3.1950909999999999E-2</v>
          </cell>
          <cell r="H473">
            <v>3.0782739999999999E-2</v>
          </cell>
          <cell r="I473">
            <v>2.7501390000000001E-2</v>
          </cell>
          <cell r="J473">
            <v>2.273387E-2</v>
          </cell>
          <cell r="K473">
            <v>2.0608370000000001E-2</v>
          </cell>
          <cell r="L473">
            <v>1.9494480000000002E-2</v>
          </cell>
          <cell r="M473">
            <v>1.8229769999999999E-2</v>
          </cell>
          <cell r="N473">
            <v>1.7160720000000001E-2</v>
          </cell>
          <cell r="O473">
            <v>1.9197599999999999E-2</v>
          </cell>
          <cell r="P473">
            <v>2.1280139999999999E-2</v>
          </cell>
        </row>
        <row r="474">
          <cell r="A474" t="str">
            <v>IR.USD.GOVT.NOMINAL.PAR#35Y</v>
          </cell>
          <cell r="B474" t="str">
            <v>UNITED STATES GOVT 35Y PAR RATE</v>
          </cell>
          <cell r="C474" t="str">
            <v>Interest Rate Risk</v>
          </cell>
          <cell r="D474">
            <v>1</v>
          </cell>
          <cell r="E474" t="str">
            <v>N/A</v>
          </cell>
          <cell r="F474" t="str">
            <v>Decimal</v>
          </cell>
          <cell r="G474">
            <v>3.2267589999999999E-2</v>
          </cell>
          <cell r="H474">
            <v>3.1205670000000001E-2</v>
          </cell>
          <cell r="I474">
            <v>2.791459E-2</v>
          </cell>
          <cell r="J474">
            <v>2.3172000000000002E-2</v>
          </cell>
          <cell r="K474">
            <v>2.0988610000000001E-2</v>
          </cell>
          <cell r="L474">
            <v>1.9802699999999999E-2</v>
          </cell>
          <cell r="M474">
            <v>1.849959E-2</v>
          </cell>
          <cell r="N474">
            <v>1.7387690000000001E-2</v>
          </cell>
          <cell r="O474">
            <v>1.9503320000000001E-2</v>
          </cell>
          <cell r="P474">
            <v>2.1662689999999998E-2</v>
          </cell>
        </row>
        <row r="475">
          <cell r="A475" t="str">
            <v>IR.USD.GOVT.NOMINAL.PAR#3Y</v>
          </cell>
          <cell r="B475" t="str">
            <v>UNITED STATES GOVT 3Y PAR RATE</v>
          </cell>
          <cell r="C475" t="str">
            <v>Interest Rate Risk</v>
          </cell>
          <cell r="D475">
            <v>1</v>
          </cell>
          <cell r="E475" t="str">
            <v>N/A</v>
          </cell>
          <cell r="F475" t="str">
            <v>Decimal</v>
          </cell>
          <cell r="G475">
            <v>1.0579659999999999E-2</v>
          </cell>
          <cell r="H475">
            <v>7.9733100000000008E-3</v>
          </cell>
          <cell r="I475">
            <v>6.04881E-3</v>
          </cell>
          <cell r="J475">
            <v>2.4468099999999998E-3</v>
          </cell>
          <cell r="K475">
            <v>2.0117199999999998E-3</v>
          </cell>
          <cell r="L475">
            <v>2.6041300000000001E-3</v>
          </cell>
          <cell r="M475">
            <v>2.31548E-3</v>
          </cell>
          <cell r="N475">
            <v>2.1793799999999999E-3</v>
          </cell>
          <cell r="O475">
            <v>2.1112100000000001E-3</v>
          </cell>
          <cell r="P475">
            <v>2.0575400000000001E-3</v>
          </cell>
        </row>
        <row r="476">
          <cell r="A476" t="str">
            <v>IR.USD.GOVT.NOMINAL.PAR#40Y</v>
          </cell>
          <cell r="B476" t="str">
            <v>UNITED STATES GOVT 40Y PAR RATE</v>
          </cell>
          <cell r="C476" t="str">
            <v>Interest Rate Risk</v>
          </cell>
          <cell r="D476">
            <v>1</v>
          </cell>
          <cell r="E476" t="str">
            <v>N/A</v>
          </cell>
          <cell r="F476" t="str">
            <v>Decimal</v>
          </cell>
          <cell r="G476">
            <v>3.2497180000000001E-2</v>
          </cell>
          <cell r="H476">
            <v>3.1511629999999999E-2</v>
          </cell>
          <cell r="I476">
            <v>2.821566E-2</v>
          </cell>
          <cell r="J476">
            <v>2.3493690000000001E-2</v>
          </cell>
          <cell r="K476">
            <v>2.1269260000000002E-2</v>
          </cell>
          <cell r="L476">
            <v>2.0031050000000002E-2</v>
          </cell>
          <cell r="M476">
            <v>1.8700959999999999E-2</v>
          </cell>
          <cell r="N476">
            <v>1.7557610000000001E-2</v>
          </cell>
          <cell r="O476">
            <v>1.9730910000000001E-2</v>
          </cell>
          <cell r="P476">
            <v>2.194579E-2</v>
          </cell>
        </row>
        <row r="477">
          <cell r="A477" t="str">
            <v>IR.USD.GOVT.NOMINAL.PAR#45Y</v>
          </cell>
          <cell r="B477" t="str">
            <v>UNITED STATES GOVT 45Y PAR RATE</v>
          </cell>
          <cell r="C477" t="str">
            <v>Interest Rate Risk</v>
          </cell>
          <cell r="D477">
            <v>1</v>
          </cell>
          <cell r="E477" t="str">
            <v>N/A</v>
          </cell>
          <cell r="F477" t="str">
            <v>Decimal</v>
          </cell>
          <cell r="G477">
            <v>3.2668879999999997E-2</v>
          </cell>
          <cell r="H477">
            <v>3.1740030000000002E-2</v>
          </cell>
          <cell r="I477">
            <v>2.8443090000000001E-2</v>
          </cell>
          <cell r="J477">
            <v>2.3738760000000001E-2</v>
          </cell>
          <cell r="K477">
            <v>2.1484340000000001E-2</v>
          </cell>
          <cell r="L477">
            <v>2.020684E-2</v>
          </cell>
          <cell r="M477">
            <v>1.8854880000000001E-2</v>
          </cell>
          <cell r="N477">
            <v>1.7687729999999999E-2</v>
          </cell>
          <cell r="O477">
            <v>1.9904539999999998E-2</v>
          </cell>
          <cell r="P477">
            <v>2.2160740000000002E-2</v>
          </cell>
        </row>
        <row r="478">
          <cell r="A478" t="str">
            <v>IR.USD.GOVT.NOMINAL.PAR#50Y</v>
          </cell>
          <cell r="B478" t="str">
            <v>UNITED STATES GOVT 50Y PAR RATE</v>
          </cell>
          <cell r="C478" t="str">
            <v>Interest Rate Risk</v>
          </cell>
          <cell r="D478">
            <v>1</v>
          </cell>
          <cell r="E478" t="str">
            <v>N/A</v>
          </cell>
          <cell r="F478" t="str">
            <v>Decimal</v>
          </cell>
          <cell r="G478">
            <v>3.280098E-2</v>
          </cell>
          <cell r="H478">
            <v>3.1915279999999997E-2</v>
          </cell>
          <cell r="I478">
            <v>2.861758E-2</v>
          </cell>
          <cell r="J478">
            <v>2.392876E-2</v>
          </cell>
          <cell r="K478">
            <v>2.1652009999999999E-2</v>
          </cell>
          <cell r="L478">
            <v>2.0344319999999999E-2</v>
          </cell>
          <cell r="M478">
            <v>1.897629E-2</v>
          </cell>
          <cell r="N478">
            <v>1.7790630000000002E-2</v>
          </cell>
          <cell r="O478">
            <v>2.0041159999999999E-2</v>
          </cell>
          <cell r="P478">
            <v>2.2328870000000001E-2</v>
          </cell>
        </row>
        <row r="479">
          <cell r="A479" t="str">
            <v>IR.USD.GOVT.NOMINAL.PAR#5Y</v>
          </cell>
          <cell r="B479" t="str">
            <v>UNITED STATES GOVT 5Y PAR RATE</v>
          </cell>
          <cell r="C479" t="str">
            <v>Interest Rate Risk</v>
          </cell>
          <cell r="D479">
            <v>1</v>
          </cell>
          <cell r="E479" t="str">
            <v>N/A</v>
          </cell>
          <cell r="F479" t="str">
            <v>Decimal</v>
          </cell>
          <cell r="G479">
            <v>1.757498E-2</v>
          </cell>
          <cell r="H479">
            <v>1.5148170000000001E-2</v>
          </cell>
          <cell r="I479">
            <v>1.246793E-2</v>
          </cell>
          <cell r="J479">
            <v>7.9157800000000007E-3</v>
          </cell>
          <cell r="K479">
            <v>6.8308800000000001E-3</v>
          </cell>
          <cell r="L479">
            <v>6.8777999999999999E-3</v>
          </cell>
          <cell r="M479">
            <v>6.2140600000000004E-3</v>
          </cell>
          <cell r="N479">
            <v>5.7378200000000002E-3</v>
          </cell>
          <cell r="O479">
            <v>6.41582E-3</v>
          </cell>
          <cell r="P479">
            <v>7.0985299999999996E-3</v>
          </cell>
        </row>
        <row r="480">
          <cell r="A480" t="str">
            <v>IR.USD.GOVT.NOMINAL.PAR#75Y</v>
          </cell>
          <cell r="B480" t="str">
            <v>UNITED STATES GOVT 75Y PAR RATE</v>
          </cell>
          <cell r="C480" t="str">
            <v>Interest Rate Risk</v>
          </cell>
          <cell r="D480">
            <v>1</v>
          </cell>
          <cell r="E480" t="str">
            <v>N/A</v>
          </cell>
          <cell r="F480" t="str">
            <v>Decimal</v>
          </cell>
          <cell r="G480">
            <v>3.3142339999999999E-2</v>
          </cell>
          <cell r="H480">
            <v>3.2367460000000001E-2</v>
          </cell>
          <cell r="I480">
            <v>2.9082420000000001E-2</v>
          </cell>
          <cell r="J480">
            <v>2.4451000000000001E-2</v>
          </cell>
          <cell r="K480">
            <v>2.21213E-2</v>
          </cell>
          <cell r="L480">
            <v>2.0733680000000001E-2</v>
          </cell>
          <cell r="M480">
            <v>1.9323369999999999E-2</v>
          </cell>
          <cell r="N480">
            <v>1.8087229999999999E-2</v>
          </cell>
          <cell r="O480">
            <v>2.0428809999999999E-2</v>
          </cell>
          <cell r="P480">
            <v>2.279753E-2</v>
          </cell>
        </row>
        <row r="481">
          <cell r="A481" t="str">
            <v>IR.USD.GOVT.NOMINAL.PAR#7Y</v>
          </cell>
          <cell r="B481" t="str">
            <v>UNITED STATES GOVT 7Y PAR RATE</v>
          </cell>
          <cell r="C481" t="str">
            <v>Interest Rate Risk</v>
          </cell>
          <cell r="D481">
            <v>1</v>
          </cell>
          <cell r="E481" t="str">
            <v>N/A</v>
          </cell>
          <cell r="F481" t="str">
            <v>Decimal</v>
          </cell>
          <cell r="G481">
            <v>2.201001E-2</v>
          </cell>
          <cell r="H481">
            <v>1.988641E-2</v>
          </cell>
          <cell r="I481">
            <v>1.680311E-2</v>
          </cell>
          <cell r="J481">
            <v>1.187881E-2</v>
          </cell>
          <cell r="K481">
            <v>1.02884E-2</v>
          </cell>
          <cell r="L481">
            <v>9.8267700000000003E-3</v>
          </cell>
          <cell r="M481">
            <v>8.8182199999999999E-3</v>
          </cell>
          <cell r="N481">
            <v>8.0127099999999993E-3</v>
          </cell>
          <cell r="O481">
            <v>9.1144299999999998E-3</v>
          </cell>
          <cell r="P481">
            <v>1.0251349999999999E-2</v>
          </cell>
        </row>
        <row r="482">
          <cell r="A482" t="str">
            <v>IR.USD.GOVT.NOMINAL.SIMPLE#12M</v>
          </cell>
          <cell r="B482" t="str">
            <v>UNITED STATES GOVT 12M SIMPLE RATE</v>
          </cell>
          <cell r="C482" t="str">
            <v>Interest Rate Risk</v>
          </cell>
          <cell r="D482">
            <v>1</v>
          </cell>
          <cell r="E482" t="str">
            <v>N/A</v>
          </cell>
          <cell r="F482" t="str">
            <v>Decimal</v>
          </cell>
          <cell r="G482">
            <v>1.0397500000000001E-3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3.2093999999999997E-4</v>
          </cell>
          <cell r="N482">
            <v>7.2530000000000001E-4</v>
          </cell>
          <cell r="O482">
            <v>9.3330000000000003E-5</v>
          </cell>
          <cell r="P482">
            <v>0</v>
          </cell>
        </row>
        <row r="483">
          <cell r="A483" t="str">
            <v>IR.USD.GOVT.NOMINAL.SIMPLE#1M</v>
          </cell>
          <cell r="B483" t="str">
            <v>UNITED STATES GOVT 1M SIMPLE RATE</v>
          </cell>
          <cell r="C483" t="str">
            <v>Interest Rate Risk</v>
          </cell>
          <cell r="D483">
            <v>1</v>
          </cell>
          <cell r="E483" t="str">
            <v>N/A</v>
          </cell>
          <cell r="F483" t="str">
            <v>Decimal</v>
          </cell>
          <cell r="G483">
            <v>1.2651000000000001E-4</v>
          </cell>
          <cell r="H483">
            <v>0</v>
          </cell>
          <cell r="I483">
            <v>0</v>
          </cell>
          <cell r="J483">
            <v>7.2148999999999998E-4</v>
          </cell>
          <cell r="K483">
            <v>5.6431000000000005E-4</v>
          </cell>
          <cell r="L483">
            <v>1.1785299999999999E-3</v>
          </cell>
          <cell r="M483">
            <v>2.2608900000000002E-3</v>
          </cell>
          <cell r="N483">
            <v>3.2001999999999998E-3</v>
          </cell>
          <cell r="O483">
            <v>3.1460899999999998E-3</v>
          </cell>
          <cell r="P483">
            <v>2.5897200000000002E-3</v>
          </cell>
        </row>
        <row r="484">
          <cell r="A484" t="str">
            <v>IR.USD.GOVT.NOMINAL.SIMPLE#3M</v>
          </cell>
          <cell r="B484" t="str">
            <v>UNITED STATES GOVT 3M SIMPLE RATE</v>
          </cell>
          <cell r="C484" t="str">
            <v>Interest Rate Risk</v>
          </cell>
          <cell r="D484">
            <v>1</v>
          </cell>
          <cell r="E484" t="str">
            <v>N/A</v>
          </cell>
          <cell r="F484" t="str">
            <v>Decimal</v>
          </cell>
          <cell r="G484">
            <v>1.7176E-4</v>
          </cell>
          <cell r="H484">
            <v>0</v>
          </cell>
          <cell r="I484">
            <v>0</v>
          </cell>
          <cell r="J484">
            <v>4.1741E-4</v>
          </cell>
          <cell r="K484">
            <v>6.4827999999999999E-4</v>
          </cell>
          <cell r="L484">
            <v>8.9353999999999996E-4</v>
          </cell>
          <cell r="M484">
            <v>2.3089199999999999E-3</v>
          </cell>
          <cell r="N484">
            <v>2.9738099999999999E-3</v>
          </cell>
          <cell r="O484">
            <v>2.4710600000000002E-3</v>
          </cell>
          <cell r="P484">
            <v>1.2675399999999999E-3</v>
          </cell>
        </row>
        <row r="485">
          <cell r="A485" t="str">
            <v>IR.USD.GOVT.NOMINAL.SIMPLE#6M</v>
          </cell>
          <cell r="B485" t="str">
            <v>UNITED STATES GOVT 6M SIMPLE RATE</v>
          </cell>
          <cell r="C485" t="str">
            <v>Interest Rate Risk</v>
          </cell>
          <cell r="D485">
            <v>1</v>
          </cell>
          <cell r="E485" t="str">
            <v>N/A</v>
          </cell>
          <cell r="F485" t="str">
            <v>Decimal</v>
          </cell>
          <cell r="G485">
            <v>3.2196999999999998E-4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6.9921000000000002E-4</v>
          </cell>
          <cell r="M485">
            <v>1.9077499999999999E-3</v>
          </cell>
          <cell r="N485">
            <v>2.3861899999999998E-3</v>
          </cell>
          <cell r="O485">
            <v>1.7473600000000001E-3</v>
          </cell>
          <cell r="P485">
            <v>7.4237999999999995E-4</v>
          </cell>
        </row>
        <row r="486">
          <cell r="A486" t="str">
            <v>IR.USD.GOVT.NOMINAL.SIMPLE.CBPOLICY</v>
          </cell>
          <cell r="B486" t="str">
            <v>UNITED STATES CENTRAL BANK POLICY RATE</v>
          </cell>
          <cell r="C486" t="str">
            <v>Interest Rate Risk</v>
          </cell>
          <cell r="D486">
            <v>1</v>
          </cell>
          <cell r="E486" t="str">
            <v>N/A</v>
          </cell>
          <cell r="F486" t="str">
            <v>Decimal</v>
          </cell>
          <cell r="G486">
            <v>8.9999999999999998E-4</v>
          </cell>
          <cell r="H486">
            <v>8.5748089999999996E-4</v>
          </cell>
          <cell r="I486">
            <v>8.5748089999999996E-4</v>
          </cell>
          <cell r="J486">
            <v>8.5748089999999996E-4</v>
          </cell>
          <cell r="K486">
            <v>8.5748089999999996E-4</v>
          </cell>
          <cell r="L486">
            <v>8.5748089999999996E-4</v>
          </cell>
          <cell r="M486">
            <v>8.5748089999999996E-4</v>
          </cell>
          <cell r="N486">
            <v>8.5748089999999996E-4</v>
          </cell>
          <cell r="O486">
            <v>8.5748089999999996E-4</v>
          </cell>
          <cell r="P486">
            <v>8.5748089999999996E-4</v>
          </cell>
        </row>
        <row r="487">
          <cell r="A487" t="str">
            <v>IR.USD.LIBOR.3M.PAR#100Y</v>
          </cell>
          <cell r="B487" t="str">
            <v>UNITED STATES 100Y SWAP RATE</v>
          </cell>
          <cell r="C487" t="str">
            <v>Interest Rate Risk</v>
          </cell>
          <cell r="D487">
            <v>1</v>
          </cell>
          <cell r="E487" t="str">
            <v>N/A</v>
          </cell>
          <cell r="F487" t="str">
            <v>Decimal</v>
          </cell>
          <cell r="G487">
            <v>3.2889870000000002E-2</v>
          </cell>
          <cell r="H487">
            <v>3.1589659999999999E-2</v>
          </cell>
          <cell r="I487">
            <v>1.6831889999999999E-2</v>
          </cell>
          <cell r="J487">
            <v>1.6550280000000001E-2</v>
          </cell>
          <cell r="K487">
            <v>1.5392350000000001E-2</v>
          </cell>
          <cell r="L487">
            <v>1.5196899999999999E-2</v>
          </cell>
          <cell r="M487">
            <v>1.4608400000000001E-2</v>
          </cell>
          <cell r="N487">
            <v>1.409906E-2</v>
          </cell>
          <cell r="O487">
            <v>1.525783E-2</v>
          </cell>
          <cell r="P487">
            <v>1.733927E-2</v>
          </cell>
        </row>
        <row r="488">
          <cell r="A488" t="str">
            <v>IR.USD.LIBOR.3M.PAR#10Y</v>
          </cell>
          <cell r="B488" t="str">
            <v>UNITED STATES 10Y SWAP RATE</v>
          </cell>
          <cell r="C488" t="str">
            <v>Interest Rate Risk</v>
          </cell>
          <cell r="D488">
            <v>1</v>
          </cell>
          <cell r="E488" t="str">
            <v>N/A</v>
          </cell>
          <cell r="F488" t="str">
            <v>Decimal</v>
          </cell>
          <cell r="G488">
            <v>2.6342930000000001E-2</v>
          </cell>
          <cell r="H488">
            <v>2.3957450000000002E-2</v>
          </cell>
          <cell r="I488">
            <v>1.320171E-2</v>
          </cell>
          <cell r="J488">
            <v>1.144542E-2</v>
          </cell>
          <cell r="K488">
            <v>9.9562999999999995E-3</v>
          </cell>
          <cell r="L488">
            <v>9.7453599999999998E-3</v>
          </cell>
          <cell r="M488">
            <v>8.9774999999999994E-3</v>
          </cell>
          <cell r="N488">
            <v>8.4154799999999995E-3</v>
          </cell>
          <cell r="O488">
            <v>8.7770699999999997E-3</v>
          </cell>
          <cell r="P488">
            <v>1.004685E-2</v>
          </cell>
        </row>
        <row r="489">
          <cell r="A489" t="str">
            <v>IR.USD.LIBOR.3M.PAR#15Y</v>
          </cell>
          <cell r="B489" t="str">
            <v>UNITED STATES 15Y SWAP RATE</v>
          </cell>
          <cell r="C489" t="str">
            <v>Interest Rate Risk</v>
          </cell>
          <cell r="D489">
            <v>1</v>
          </cell>
          <cell r="E489" t="str">
            <v>N/A</v>
          </cell>
          <cell r="F489" t="str">
            <v>Decimal</v>
          </cell>
          <cell r="G489">
            <v>2.939744E-2</v>
          </cell>
          <cell r="H489">
            <v>2.7011199999999999E-2</v>
          </cell>
          <cell r="I489">
            <v>1.556079E-2</v>
          </cell>
          <cell r="J489">
            <v>1.3837449999999999E-2</v>
          </cell>
          <cell r="K489">
            <v>1.2244629999999999E-2</v>
          </cell>
          <cell r="L489">
            <v>1.190184E-2</v>
          </cell>
          <cell r="M489">
            <v>1.103698E-2</v>
          </cell>
          <cell r="N489">
            <v>1.037134E-2</v>
          </cell>
          <cell r="O489">
            <v>1.0730780000000001E-2</v>
          </cell>
          <cell r="P489">
            <v>1.201763E-2</v>
          </cell>
        </row>
        <row r="490">
          <cell r="A490" t="str">
            <v>IR.USD.LIBOR.3M.PAR#20Y</v>
          </cell>
          <cell r="B490" t="str">
            <v>UNITED STATES 20Y SWAP RATE</v>
          </cell>
          <cell r="C490" t="str">
            <v>Interest Rate Risk</v>
          </cell>
          <cell r="D490">
            <v>1</v>
          </cell>
          <cell r="E490" t="str">
            <v>N/A</v>
          </cell>
          <cell r="F490" t="str">
            <v>Decimal</v>
          </cell>
          <cell r="G490">
            <v>3.0828919999999999E-2</v>
          </cell>
          <cell r="H490">
            <v>2.8546700000000001E-2</v>
          </cell>
          <cell r="I490">
            <v>1.6508390000000001E-2</v>
          </cell>
          <cell r="J490">
            <v>1.492514E-2</v>
          </cell>
          <cell r="K490">
            <v>1.333093E-2</v>
          </cell>
          <cell r="L490">
            <v>1.2951219999999999E-2</v>
          </cell>
          <cell r="M490">
            <v>1.207709E-2</v>
          </cell>
          <cell r="N490">
            <v>1.1385950000000001E-2</v>
          </cell>
          <cell r="O490">
            <v>1.1819909999999999E-2</v>
          </cell>
          <cell r="P490">
            <v>1.319159E-2</v>
          </cell>
        </row>
        <row r="491">
          <cell r="A491" t="str">
            <v>IR.USD.LIBOR.3M.PAR#2Y</v>
          </cell>
          <cell r="B491" t="str">
            <v>UNITED STATES 2Y SWAP RATE</v>
          </cell>
          <cell r="C491" t="str">
            <v>Interest Rate Risk</v>
          </cell>
          <cell r="D491">
            <v>1</v>
          </cell>
          <cell r="E491" t="str">
            <v>N/A</v>
          </cell>
          <cell r="F491" t="str">
            <v>Decimal</v>
          </cell>
          <cell r="G491">
            <v>8.1220900000000002E-3</v>
          </cell>
          <cell r="H491">
            <v>5.25386E-3</v>
          </cell>
          <cell r="I491">
            <v>2.0311600000000002E-3</v>
          </cell>
          <cell r="J491">
            <v>9.4945000000000001E-4</v>
          </cell>
          <cell r="K491">
            <v>9.8868000000000003E-4</v>
          </cell>
          <cell r="L491">
            <v>2.12159E-3</v>
          </cell>
          <cell r="M491">
            <v>2.3184400000000002E-3</v>
          </cell>
          <cell r="N491">
            <v>1.78695E-3</v>
          </cell>
          <cell r="O491">
            <v>1.3768999999999999E-3</v>
          </cell>
          <cell r="P491">
            <v>1.2432400000000001E-3</v>
          </cell>
        </row>
        <row r="492">
          <cell r="A492" t="str">
            <v>IR.USD.LIBOR.3M.PAR#30Y</v>
          </cell>
          <cell r="B492" t="str">
            <v>UNITED STATES 30Y SWAP RATE</v>
          </cell>
          <cell r="C492" t="str">
            <v>Interest Rate Risk</v>
          </cell>
          <cell r="D492">
            <v>1</v>
          </cell>
          <cell r="E492" t="str">
            <v>N/A</v>
          </cell>
          <cell r="F492" t="str">
            <v>Decimal</v>
          </cell>
          <cell r="G492">
            <v>3.1844890000000001E-2</v>
          </cell>
          <cell r="H492">
            <v>2.9910630000000001E-2</v>
          </cell>
          <cell r="I492">
            <v>1.6834490000000001E-2</v>
          </cell>
          <cell r="J492">
            <v>1.5667549999999999E-2</v>
          </cell>
          <cell r="K492">
            <v>1.4199359999999999E-2</v>
          </cell>
          <cell r="L492">
            <v>1.386448E-2</v>
          </cell>
          <cell r="M492">
            <v>1.30682E-2</v>
          </cell>
          <cell r="N492">
            <v>1.242293E-2</v>
          </cell>
          <cell r="O492">
            <v>1.3099029999999999E-2</v>
          </cell>
          <cell r="P492">
            <v>1.472271E-2</v>
          </cell>
        </row>
        <row r="493">
          <cell r="A493" t="str">
            <v>IR.USD.LIBOR.3M.PAR#35Y</v>
          </cell>
          <cell r="B493" t="str">
            <v>UNITED STATES 35Y SWAP RATE</v>
          </cell>
          <cell r="C493" t="str">
            <v>Interest Rate Risk</v>
          </cell>
          <cell r="D493">
            <v>1</v>
          </cell>
          <cell r="E493" t="str">
            <v>N/A</v>
          </cell>
          <cell r="F493" t="str">
            <v>Decimal</v>
          </cell>
          <cell r="G493">
            <v>3.2095430000000001E-2</v>
          </cell>
          <cell r="H493">
            <v>3.0315410000000001E-2</v>
          </cell>
          <cell r="I493">
            <v>1.6833770000000001E-2</v>
          </cell>
          <cell r="J493">
            <v>1.585547E-2</v>
          </cell>
          <cell r="K493">
            <v>1.445315E-2</v>
          </cell>
          <cell r="L493">
            <v>1.414843E-2</v>
          </cell>
          <cell r="M493">
            <v>1.339655E-2</v>
          </cell>
          <cell r="N493">
            <v>1.278018E-2</v>
          </cell>
          <cell r="O493">
            <v>1.3564970000000001E-2</v>
          </cell>
          <cell r="P493">
            <v>1.529835E-2</v>
          </cell>
        </row>
        <row r="494">
          <cell r="A494" t="str">
            <v>IR.USD.LIBOR.3M.PAR#3Y</v>
          </cell>
          <cell r="B494" t="str">
            <v>UNITED STATES 3Y SWAP RATE</v>
          </cell>
          <cell r="C494" t="str">
            <v>Interest Rate Risk</v>
          </cell>
          <cell r="D494">
            <v>1</v>
          </cell>
          <cell r="E494" t="str">
            <v>N/A</v>
          </cell>
          <cell r="F494" t="str">
            <v>Decimal</v>
          </cell>
          <cell r="G494">
            <v>1.289355E-2</v>
          </cell>
          <cell r="H494">
            <v>9.9816699999999998E-3</v>
          </cell>
          <cell r="I494">
            <v>2.83374E-3</v>
          </cell>
          <cell r="J494">
            <v>2.2713400000000002E-3</v>
          </cell>
          <cell r="K494">
            <v>1.95839E-3</v>
          </cell>
          <cell r="L494">
            <v>2.83257E-3</v>
          </cell>
          <cell r="M494">
            <v>2.7959700000000001E-3</v>
          </cell>
          <cell r="N494">
            <v>2.0795200000000001E-3</v>
          </cell>
          <cell r="O494">
            <v>2.0455299999999998E-3</v>
          </cell>
          <cell r="P494">
            <v>2.6637200000000001E-3</v>
          </cell>
        </row>
        <row r="495">
          <cell r="A495" t="str">
            <v>IR.USD.LIBOR.3M.PAR#40Y</v>
          </cell>
          <cell r="B495" t="str">
            <v>UNITED STATES 40Y SWAP RATE</v>
          </cell>
          <cell r="C495" t="str">
            <v>Interest Rate Risk</v>
          </cell>
          <cell r="D495">
            <v>1</v>
          </cell>
          <cell r="E495" t="str">
            <v>N/A</v>
          </cell>
          <cell r="F495" t="str">
            <v>Decimal</v>
          </cell>
          <cell r="G495">
            <v>3.227733E-2</v>
          </cell>
          <cell r="H495">
            <v>3.0608369999999999E-2</v>
          </cell>
          <cell r="I495">
            <v>1.6833250000000001E-2</v>
          </cell>
          <cell r="J495">
            <v>1.5995430000000001E-2</v>
          </cell>
          <cell r="K495">
            <v>1.464201E-2</v>
          </cell>
          <cell r="L495">
            <v>1.435955E-2</v>
          </cell>
          <cell r="M495">
            <v>1.364128E-2</v>
          </cell>
          <cell r="N495">
            <v>1.304626E-2</v>
          </cell>
          <cell r="O495">
            <v>1.3910580000000001E-2</v>
          </cell>
          <cell r="P495">
            <v>1.5723089999999999E-2</v>
          </cell>
        </row>
        <row r="496">
          <cell r="A496" t="str">
            <v>IR.USD.LIBOR.3M.PAR#45Y</v>
          </cell>
          <cell r="B496" t="str">
            <v>UNITED STATES 45Y SWAP RATE</v>
          </cell>
          <cell r="C496" t="str">
            <v>Interest Rate Risk</v>
          </cell>
          <cell r="D496">
            <v>1</v>
          </cell>
          <cell r="E496" t="str">
            <v>N/A</v>
          </cell>
          <cell r="F496" t="str">
            <v>Decimal</v>
          </cell>
          <cell r="G496">
            <v>3.2413589999999999E-2</v>
          </cell>
          <cell r="H496">
            <v>3.082735E-2</v>
          </cell>
          <cell r="I496">
            <v>1.6833540000000001E-2</v>
          </cell>
          <cell r="J496">
            <v>1.610406E-2</v>
          </cell>
          <cell r="K496">
            <v>1.4788290000000001E-2</v>
          </cell>
          <cell r="L496">
            <v>1.452288E-2</v>
          </cell>
          <cell r="M496">
            <v>1.3829019999999999E-2</v>
          </cell>
          <cell r="N496">
            <v>1.3250400000000001E-2</v>
          </cell>
          <cell r="O496">
            <v>1.417501E-2</v>
          </cell>
          <cell r="P496">
            <v>1.604657E-2</v>
          </cell>
        </row>
        <row r="497">
          <cell r="A497" t="str">
            <v>IR.USD.LIBOR.3M.PAR#50Y</v>
          </cell>
          <cell r="B497" t="str">
            <v>UNITED STATES 50Y SWAP RATE</v>
          </cell>
          <cell r="C497" t="str">
            <v>Interest Rate Risk</v>
          </cell>
          <cell r="D497">
            <v>1</v>
          </cell>
          <cell r="E497" t="str">
            <v>N/A</v>
          </cell>
          <cell r="F497" t="str">
            <v>Decimal</v>
          </cell>
          <cell r="G497">
            <v>3.2518819999999997E-2</v>
          </cell>
          <cell r="H497">
            <v>3.0995749999999999E-2</v>
          </cell>
          <cell r="I497">
            <v>1.6833150000000002E-2</v>
          </cell>
          <cell r="J497">
            <v>1.6189450000000001E-2</v>
          </cell>
          <cell r="K497">
            <v>1.490352E-2</v>
          </cell>
          <cell r="L497">
            <v>1.4651549999999999E-2</v>
          </cell>
          <cell r="M497">
            <v>1.397761E-2</v>
          </cell>
          <cell r="N497">
            <v>1.341199E-2</v>
          </cell>
          <cell r="O497">
            <v>1.438364E-2</v>
          </cell>
          <cell r="P497">
            <v>1.6300519999999999E-2</v>
          </cell>
        </row>
        <row r="498">
          <cell r="A498" t="str">
            <v>IR.USD.LIBOR.3M.PAR#5Y</v>
          </cell>
          <cell r="B498" t="str">
            <v>UNITED STATES 5Y SWAP RATE</v>
          </cell>
          <cell r="C498" t="str">
            <v>Interest Rate Risk</v>
          </cell>
          <cell r="D498">
            <v>1</v>
          </cell>
          <cell r="E498" t="str">
            <v>N/A</v>
          </cell>
          <cell r="F498" t="str">
            <v>Decimal</v>
          </cell>
          <cell r="G498">
            <v>1.9280909999999998E-2</v>
          </cell>
          <cell r="H498">
            <v>1.6346079999999999E-2</v>
          </cell>
          <cell r="I498">
            <v>7.1683600000000004E-3</v>
          </cell>
          <cell r="J498">
            <v>4.7421399999999997E-3</v>
          </cell>
          <cell r="K498">
            <v>3.7448E-3</v>
          </cell>
          <cell r="L498">
            <v>4.0554800000000002E-3</v>
          </cell>
          <cell r="M498">
            <v>3.6211400000000001E-3</v>
          </cell>
          <cell r="N498">
            <v>3.3724599999999999E-3</v>
          </cell>
          <cell r="O498">
            <v>2.6932200000000001E-3</v>
          </cell>
          <cell r="P498">
            <v>3.1214200000000002E-3</v>
          </cell>
        </row>
        <row r="499">
          <cell r="A499" t="str">
            <v>IR.USD.LIBOR.3M.PAR#75Y</v>
          </cell>
          <cell r="B499" t="str">
            <v>UNITED STATES 75Y SWAP RATE</v>
          </cell>
          <cell r="C499" t="str">
            <v>Interest Rate Risk</v>
          </cell>
          <cell r="D499">
            <v>1</v>
          </cell>
          <cell r="E499" t="str">
            <v>N/A</v>
          </cell>
          <cell r="F499" t="str">
            <v>Decimal</v>
          </cell>
          <cell r="G499">
            <v>3.279228E-2</v>
          </cell>
          <cell r="H499">
            <v>3.1433500000000003E-2</v>
          </cell>
          <cell r="I499">
            <v>1.6832429999999999E-2</v>
          </cell>
          <cell r="J499">
            <v>1.6437199999999999E-2</v>
          </cell>
          <cell r="K499">
            <v>1.5238349999999999E-2</v>
          </cell>
          <cell r="L499">
            <v>1.5025119999999999E-2</v>
          </cell>
          <cell r="M499">
            <v>1.4409180000000001E-2</v>
          </cell>
          <cell r="N499">
            <v>1.3881620000000001E-2</v>
          </cell>
          <cell r="O499">
            <v>1.498466E-2</v>
          </cell>
          <cell r="P499">
            <v>1.7021789999999998E-2</v>
          </cell>
        </row>
        <row r="500">
          <cell r="A500" t="str">
            <v>IR.USD.LIBOR.3M.PAR#7Y</v>
          </cell>
          <cell r="B500" t="str">
            <v>UNITED STATES 7Y SWAP RATE</v>
          </cell>
          <cell r="C500" t="str">
            <v>Interest Rate Risk</v>
          </cell>
          <cell r="D500">
            <v>1</v>
          </cell>
          <cell r="E500" t="str">
            <v>N/A</v>
          </cell>
          <cell r="F500" t="str">
            <v>Decimal</v>
          </cell>
          <cell r="G500">
            <v>2.2978229999999999E-2</v>
          </cell>
          <cell r="H500">
            <v>2.0352269999999999E-2</v>
          </cell>
          <cell r="I500">
            <v>1.0126319999999999E-2</v>
          </cell>
          <cell r="J500">
            <v>7.9334899999999996E-3</v>
          </cell>
          <cell r="K500">
            <v>6.6397799999999996E-3</v>
          </cell>
          <cell r="L500">
            <v>6.6649700000000001E-3</v>
          </cell>
          <cell r="M500">
            <v>6.0642999999999999E-3</v>
          </cell>
          <cell r="N500">
            <v>5.6539099999999998E-3</v>
          </cell>
          <cell r="O500">
            <v>5.4840000000000002E-3</v>
          </cell>
          <cell r="P500">
            <v>6.4205E-3</v>
          </cell>
        </row>
        <row r="501">
          <cell r="A501" t="str">
            <v>IR.USD.LIBOR.3M.SIMPLE#12M</v>
          </cell>
          <cell r="B501" t="str">
            <v>UNITED STATES 12M LIBOR RATE</v>
          </cell>
          <cell r="C501" t="str">
            <v>Interest Rate Risk</v>
          </cell>
          <cell r="D501">
            <v>1</v>
          </cell>
          <cell r="E501" t="str">
            <v>N/A</v>
          </cell>
          <cell r="F501" t="str">
            <v>Decimal</v>
          </cell>
          <cell r="G501">
            <v>3.60429E-3</v>
          </cell>
          <cell r="H501">
            <v>1.75942E-3</v>
          </cell>
          <cell r="I501">
            <v>4.1651999999999998E-4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</row>
        <row r="502">
          <cell r="A502" t="str">
            <v>IR.USD.LIBOR.3M.SIMPLE#1M</v>
          </cell>
          <cell r="B502" t="str">
            <v>UNITED STATES 1M LIBOR RATE</v>
          </cell>
          <cell r="C502" t="str">
            <v>Interest Rate Risk</v>
          </cell>
          <cell r="D502">
            <v>1</v>
          </cell>
          <cell r="E502" t="str">
            <v>N/A</v>
          </cell>
          <cell r="F502" t="str">
            <v>Decimal</v>
          </cell>
          <cell r="G502">
            <v>2.3521599999999998E-3</v>
          </cell>
          <cell r="H502">
            <v>2.2369099999999999E-3</v>
          </cell>
          <cell r="I502">
            <v>2.1895E-3</v>
          </cell>
          <cell r="J502">
            <v>4.0530200000000001E-3</v>
          </cell>
          <cell r="K502">
            <v>4.1156400000000003E-3</v>
          </cell>
          <cell r="L502">
            <v>4.47657E-3</v>
          </cell>
          <cell r="M502">
            <v>5.0103300000000003E-3</v>
          </cell>
          <cell r="N502">
            <v>3.9213599999999996E-3</v>
          </cell>
          <cell r="O502">
            <v>3.7164899999999998E-3</v>
          </cell>
          <cell r="P502">
            <v>4.4743200000000004E-3</v>
          </cell>
        </row>
        <row r="503">
          <cell r="A503" t="str">
            <v>IR.USD.LIBOR.3M.SIMPLE#3M</v>
          </cell>
          <cell r="B503" t="str">
            <v>UNITED STATES 3M LIBOR RATE</v>
          </cell>
          <cell r="C503" t="str">
            <v>Interest Rate Risk</v>
          </cell>
          <cell r="D503">
            <v>1</v>
          </cell>
          <cell r="E503" t="str">
            <v>N/A</v>
          </cell>
          <cell r="F503" t="str">
            <v>Decimal</v>
          </cell>
          <cell r="G503">
            <v>2.3516100000000001E-3</v>
          </cell>
          <cell r="H503">
            <v>1.24496E-3</v>
          </cell>
          <cell r="I503">
            <v>7.7817000000000001E-4</v>
          </cell>
          <cell r="J503">
            <v>3.35235E-3</v>
          </cell>
          <cell r="K503">
            <v>3.1004600000000002E-3</v>
          </cell>
          <cell r="L503">
            <v>2.5901299999999999E-3</v>
          </cell>
          <cell r="M503">
            <v>2.9737700000000001E-3</v>
          </cell>
          <cell r="N503">
            <v>1.68429E-3</v>
          </cell>
          <cell r="O503">
            <v>1.5521300000000001E-3</v>
          </cell>
          <cell r="P503">
            <v>1.27625E-3</v>
          </cell>
        </row>
        <row r="504">
          <cell r="A504" t="str">
            <v>IR.USD.LIBOR.3M.SIMPLE#6M</v>
          </cell>
          <cell r="B504" t="str">
            <v>UNITED STATES 6M LIBOR RATE</v>
          </cell>
          <cell r="C504" t="str">
            <v>Interest Rate Risk</v>
          </cell>
          <cell r="D504">
            <v>1</v>
          </cell>
          <cell r="E504" t="str">
            <v>N/A</v>
          </cell>
          <cell r="F504" t="str">
            <v>Decimal</v>
          </cell>
          <cell r="G504">
            <v>2.43144E-3</v>
          </cell>
          <cell r="H504">
            <v>1.4210200000000001E-3</v>
          </cell>
          <cell r="I504">
            <v>1.14539E-3</v>
          </cell>
          <cell r="J504">
            <v>1.6627999999999999E-4</v>
          </cell>
          <cell r="K504">
            <v>5.9986000000000002E-4</v>
          </cell>
          <cell r="L504">
            <v>5.8186000000000002E-4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</row>
        <row r="505">
          <cell r="A505" t="str">
            <v>IR.USD.LIBOR.SIMPLE#O/N</v>
          </cell>
          <cell r="B505" t="str">
            <v>UNITED STATES OVERNIGHT LIBOR RATE</v>
          </cell>
          <cell r="C505" t="str">
            <v>Interest Rate Risk</v>
          </cell>
          <cell r="D505">
            <v>1</v>
          </cell>
          <cell r="E505" t="str">
            <v>N/A</v>
          </cell>
          <cell r="F505" t="str">
            <v>Decimal</v>
          </cell>
          <cell r="G505">
            <v>9.1279999999999996E-4</v>
          </cell>
          <cell r="H505">
            <v>7.1974150000000004E-4</v>
          </cell>
          <cell r="I505">
            <v>3.7372415999999999E-3</v>
          </cell>
          <cell r="J505">
            <v>2.2112653000000001E-3</v>
          </cell>
          <cell r="K505">
            <v>1.8709992E-3</v>
          </cell>
          <cell r="L505">
            <v>1.7403526999999999E-3</v>
          </cell>
          <cell r="M505">
            <v>1.6809564999999999E-3</v>
          </cell>
          <cell r="N505">
            <v>1.6296308E-3</v>
          </cell>
          <cell r="O505">
            <v>1.5414840999999999E-3</v>
          </cell>
          <cell r="P505">
            <v>1.5914842000000001E-3</v>
          </cell>
        </row>
        <row r="509">
          <cell r="A509" t="str">
            <v>EQ.USD.INDEX.SPXT.RETURN</v>
          </cell>
          <cell r="B509" t="str">
            <v>EQ.USD.INDEX.SPXT.RETURN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-6.1806249565032889E-4</v>
          </cell>
          <cell r="I509">
            <v>-0.19465191732191678</v>
          </cell>
          <cell r="J509">
            <v>-4.5037092440876836E-2</v>
          </cell>
          <cell r="K509">
            <v>-4.5037030352100493E-2</v>
          </cell>
          <cell r="L509">
            <v>0.10496291253180301</v>
          </cell>
          <cell r="M509">
            <v>5.8138132617606031E-2</v>
          </cell>
          <cell r="N509">
            <v>4.4948640520645178E-2</v>
          </cell>
          <cell r="O509">
            <v>5.4962950442476677E-2</v>
          </cell>
          <cell r="P509">
            <v>4.7994604639514771E-2</v>
          </cell>
        </row>
        <row r="510">
          <cell r="A510" t="str">
            <v>EQ.USD.INDEX.SPXT.RETURNCUM</v>
          </cell>
          <cell r="B510" t="str">
            <v>EQ.USD.INDEX.SPXT.RETURNCUM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-6.1806249565032889E-4</v>
          </cell>
          <cell r="I510">
            <v>-0.19514967276776402</v>
          </cell>
          <cell r="J510">
            <v>-0.23139779135639219</v>
          </cell>
          <cell r="K510">
            <v>-0.26601335235576584</v>
          </cell>
          <cell r="L510">
            <v>-0.18897197605957278</v>
          </cell>
          <cell r="M510">
            <v>-0.14182032124712926</v>
          </cell>
          <cell r="N510">
            <v>-0.10324631136474371</v>
          </cell>
          <cell r="O510">
            <v>-5.3958082817175956E-2</v>
          </cell>
          <cell r="P510">
            <v>-8.5531750295777392E-3</v>
          </cell>
        </row>
        <row r="511">
          <cell r="A511">
            <v>0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</row>
        <row r="512">
          <cell r="A512" t="str">
            <v>EQ.USD.INDEX.SBBIG.RETURN</v>
          </cell>
          <cell r="B512" t="str">
            <v>EQ.USD.INDEX.SBBIG.RETURN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1.7674879880829053E-2</v>
          </cell>
          <cell r="I512">
            <v>-4.9082439197888794E-2</v>
          </cell>
          <cell r="J512">
            <v>4.3605594423989036E-2</v>
          </cell>
          <cell r="K512">
            <v>1.3958229318698168E-2</v>
          </cell>
          <cell r="L512">
            <v>9.7816390609073434E-3</v>
          </cell>
          <cell r="M512">
            <v>1.2167658353533284E-2</v>
          </cell>
          <cell r="N512">
            <v>1.1048942998322486E-2</v>
          </cell>
          <cell r="O512">
            <v>1.1902795259146393E-2</v>
          </cell>
          <cell r="P512">
            <v>4.7482861542502697E-4</v>
          </cell>
        </row>
        <row r="513">
          <cell r="A513" t="str">
            <v>EQ.USD.INDEX.SBBIG.RETURNCUM</v>
          </cell>
          <cell r="B513" t="str">
            <v>EQ.USD.INDEX.SBBIG.RETURNCUM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1.7674879880829053E-2</v>
          </cell>
          <cell r="I513">
            <v>-3.2275085534140519E-2</v>
          </cell>
          <cell r="J513">
            <v>9.9231346000472273E-3</v>
          </cell>
          <cell r="K513">
            <v>2.4019873307053165E-2</v>
          </cell>
          <cell r="L513">
            <v>3.4036466098938824E-2</v>
          </cell>
          <cell r="M513">
            <v>4.6618268543525611E-2</v>
          </cell>
          <cell r="N513">
            <v>5.8182294133666004E-2</v>
          </cell>
          <cell r="O513">
            <v>7.0777621327592855E-2</v>
          </cell>
          <cell r="P513">
            <v>7.1286057182955942E-2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Key Data"/>
      <sheetName val="Sheet3"/>
    </sheetNames>
    <sheetDataSet>
      <sheetData sheetId="0" refreshError="1"/>
      <sheetData sheetId="1" refreshError="1">
        <row r="5">
          <cell r="C5">
            <v>-3.3000095248833472</v>
          </cell>
          <cell r="D5">
            <v>0.11687726346398475</v>
          </cell>
          <cell r="E5">
            <v>19.023</v>
          </cell>
        </row>
        <row r="6">
          <cell r="C6">
            <v>-1.7179406540586795</v>
          </cell>
          <cell r="D6">
            <v>4.8897596971504247E-2</v>
          </cell>
          <cell r="E6">
            <v>23.344000000000001</v>
          </cell>
        </row>
        <row r="7">
          <cell r="C7">
            <v>-1.4035517231985801</v>
          </cell>
          <cell r="D7">
            <v>3.9394506580420249E-2</v>
          </cell>
          <cell r="E7">
            <v>23.986000000000001</v>
          </cell>
        </row>
        <row r="8">
          <cell r="C8">
            <v>-491.08702206938847</v>
          </cell>
          <cell r="D8">
            <v>7.4815400986632845</v>
          </cell>
        </row>
        <row r="9">
          <cell r="C9">
            <v>-754.9744304247854</v>
          </cell>
          <cell r="D9">
            <v>12.989115871104179</v>
          </cell>
        </row>
        <row r="10">
          <cell r="C10">
            <v>-349.02506201095076</v>
          </cell>
          <cell r="D10">
            <v>4.8377423247305131</v>
          </cell>
        </row>
        <row r="11">
          <cell r="C11">
            <v>-721.06867021649521</v>
          </cell>
          <cell r="D11">
            <v>9.78044092155287</v>
          </cell>
        </row>
        <row r="12">
          <cell r="C12">
            <v>-406.69677312176123</v>
          </cell>
          <cell r="D12">
            <v>6.147238676185756</v>
          </cell>
        </row>
        <row r="16">
          <cell r="C16">
            <v>4.6100000000000003</v>
          </cell>
        </row>
        <row r="17">
          <cell r="C17">
            <v>1.7899999999999999E-2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L64"/>
  <sheetViews>
    <sheetView tabSelected="1" workbookViewId="0">
      <selection activeCell="L19" sqref="L19"/>
    </sheetView>
  </sheetViews>
  <sheetFormatPr defaultRowHeight="15" x14ac:dyDescent="0.25"/>
  <cols>
    <col min="1" max="1" width="9.140625" style="1"/>
    <col min="2" max="2" width="10.7109375" style="1" bestFit="1" customWidth="1"/>
    <col min="3" max="3" width="14" style="1" bestFit="1" customWidth="1"/>
    <col min="4" max="4" width="14" style="1" customWidth="1"/>
    <col min="5" max="16384" width="9.140625" style="1"/>
  </cols>
  <sheetData>
    <row r="2" spans="2:12" x14ac:dyDescent="0.25">
      <c r="B2" s="3" t="s">
        <v>15</v>
      </c>
      <c r="F2" s="4" t="s">
        <v>16</v>
      </c>
      <c r="I2" s="3" t="s">
        <v>17</v>
      </c>
      <c r="K2" s="4" t="s">
        <v>18</v>
      </c>
    </row>
    <row r="3" spans="2:12" x14ac:dyDescent="0.25">
      <c r="B3" s="5" t="s">
        <v>0</v>
      </c>
      <c r="C3" s="6" t="s">
        <v>19</v>
      </c>
      <c r="D3" s="6" t="s">
        <v>20</v>
      </c>
      <c r="E3" s="6" t="s">
        <v>21</v>
      </c>
      <c r="F3" s="7" t="s">
        <v>22</v>
      </c>
      <c r="I3" s="8" t="s">
        <v>23</v>
      </c>
      <c r="J3" s="8" t="s">
        <v>22</v>
      </c>
      <c r="K3" s="8" t="s">
        <v>24</v>
      </c>
      <c r="L3" s="8" t="s">
        <v>28</v>
      </c>
    </row>
    <row r="4" spans="2:12" x14ac:dyDescent="0.25">
      <c r="B4" s="9">
        <v>42338</v>
      </c>
      <c r="C4" s="10" t="s">
        <v>27</v>
      </c>
      <c r="D4" s="11">
        <v>0</v>
      </c>
      <c r="E4" s="11">
        <v>0.5</v>
      </c>
      <c r="F4" s="12">
        <f>F5/2</f>
        <v>0.34449999999999997</v>
      </c>
      <c r="I4" s="1">
        <v>0</v>
      </c>
      <c r="J4" s="1">
        <v>1</v>
      </c>
    </row>
    <row r="5" spans="2:12" x14ac:dyDescent="0.25">
      <c r="B5" s="9">
        <v>42338</v>
      </c>
      <c r="C5" s="10" t="s">
        <v>1</v>
      </c>
      <c r="D5" s="11">
        <v>0</v>
      </c>
      <c r="E5" s="11">
        <v>1</v>
      </c>
      <c r="F5" s="12">
        <v>0.68899999999999995</v>
      </c>
      <c r="I5" s="1">
        <v>0.5</v>
      </c>
      <c r="J5" s="1">
        <f>1/(1+F4/100)</f>
        <v>0.99656682728002044</v>
      </c>
      <c r="K5" s="1">
        <f>-LN(J5/J4)/(I5-I4)</f>
        <v>6.8781591616657234E-3</v>
      </c>
      <c r="L5" s="17">
        <f>-LN(J5)/I5</f>
        <v>6.8781591616657234E-3</v>
      </c>
    </row>
    <row r="6" spans="2:12" x14ac:dyDescent="0.25">
      <c r="B6" s="9">
        <v>42338</v>
      </c>
      <c r="C6" s="10" t="s">
        <v>2</v>
      </c>
      <c r="D6" s="11">
        <v>0</v>
      </c>
      <c r="E6" s="11">
        <v>2</v>
      </c>
      <c r="F6" s="12">
        <v>0.995</v>
      </c>
      <c r="I6" s="1">
        <v>1</v>
      </c>
      <c r="J6" s="1">
        <f>J5*(J5/J4)</f>
        <v>0.99314544123496606</v>
      </c>
      <c r="K6" s="1">
        <f t="shared" ref="K6:K64" si="0">-LN(J6/J5)/(I6-I5)</f>
        <v>6.8781591616657234E-3</v>
      </c>
      <c r="L6" s="17">
        <f t="shared" ref="L6:L64" si="1">-LN(J6)/I6</f>
        <v>6.8781591616657502E-3</v>
      </c>
    </row>
    <row r="7" spans="2:12" x14ac:dyDescent="0.25">
      <c r="B7" s="9">
        <v>42338</v>
      </c>
      <c r="C7" s="10" t="s">
        <v>3</v>
      </c>
      <c r="D7" s="11">
        <v>0</v>
      </c>
      <c r="E7" s="11">
        <v>3</v>
      </c>
      <c r="F7" s="12">
        <v>1.238</v>
      </c>
      <c r="I7" s="1">
        <v>1.5</v>
      </c>
      <c r="J7" s="1">
        <f>Bootstrap(F6,J6,SUM(J$5:J6))*J6</f>
        <v>0.98670948364758726</v>
      </c>
      <c r="K7" s="1">
        <f t="shared" si="0"/>
        <v>1.3002933046530794E-2</v>
      </c>
      <c r="L7" s="17">
        <f t="shared" si="1"/>
        <v>8.9197504566207592E-3</v>
      </c>
    </row>
    <row r="8" spans="2:12" x14ac:dyDescent="0.25">
      <c r="B8" s="9">
        <v>42338</v>
      </c>
      <c r="C8" s="10" t="s">
        <v>8</v>
      </c>
      <c r="D8" s="11">
        <v>0</v>
      </c>
      <c r="E8" s="11">
        <v>4</v>
      </c>
      <c r="F8" s="12">
        <v>1.4219999999999999</v>
      </c>
      <c r="I8" s="1">
        <v>2</v>
      </c>
      <c r="J8" s="1">
        <f>J7*(J7/J6)</f>
        <v>0.98031523349634697</v>
      </c>
      <c r="K8" s="1">
        <f t="shared" si="0"/>
        <v>1.3002933046530794E-2</v>
      </c>
      <c r="L8" s="17">
        <f t="shared" si="1"/>
        <v>9.9405461040982489E-3</v>
      </c>
    </row>
    <row r="9" spans="2:12" x14ac:dyDescent="0.25">
      <c r="B9" s="9">
        <v>42338</v>
      </c>
      <c r="C9" s="10" t="s">
        <v>4</v>
      </c>
      <c r="D9" s="11">
        <v>0</v>
      </c>
      <c r="E9" s="11">
        <v>5</v>
      </c>
      <c r="F9" s="12">
        <v>1.571</v>
      </c>
      <c r="I9" s="1">
        <v>2.5</v>
      </c>
      <c r="J9" s="1">
        <f>Bootstrap(F7,J8,SUM(J$5:J8))*J8</f>
        <v>0.9718851667691093</v>
      </c>
      <c r="K9" s="1">
        <f t="shared" si="0"/>
        <v>1.7273060953529557E-2</v>
      </c>
      <c r="L9" s="17">
        <f t="shared" si="1"/>
        <v>1.1407049073984514E-2</v>
      </c>
    </row>
    <row r="10" spans="2:12" x14ac:dyDescent="0.25">
      <c r="B10" s="9">
        <v>42338</v>
      </c>
      <c r="C10" s="10" t="s">
        <v>9</v>
      </c>
      <c r="D10" s="11">
        <v>0</v>
      </c>
      <c r="E10" s="11">
        <v>6</v>
      </c>
      <c r="F10" s="12">
        <v>1.702</v>
      </c>
      <c r="I10" s="1">
        <v>3</v>
      </c>
      <c r="J10" s="1">
        <f>J9*(J9/J8)</f>
        <v>0.9635275930753342</v>
      </c>
      <c r="K10" s="1">
        <f t="shared" si="0"/>
        <v>1.7273060953529557E-2</v>
      </c>
      <c r="L10" s="17">
        <f t="shared" si="1"/>
        <v>1.2384717720575344E-2</v>
      </c>
    </row>
    <row r="11" spans="2:12" x14ac:dyDescent="0.25">
      <c r="B11" s="9">
        <v>42338</v>
      </c>
      <c r="C11" s="10" t="s">
        <v>5</v>
      </c>
      <c r="D11" s="11">
        <v>0</v>
      </c>
      <c r="E11" s="11">
        <v>7</v>
      </c>
      <c r="F11" s="12">
        <v>1.8149999999999999</v>
      </c>
      <c r="I11" s="1">
        <v>3.5</v>
      </c>
      <c r="J11" s="1">
        <f>Bootstrap(F8,J10,SUM(J$5:J10))*J10</f>
        <v>0.95402067946425884</v>
      </c>
      <c r="K11" s="1">
        <f t="shared" si="0"/>
        <v>1.9831556039569837E-2</v>
      </c>
      <c r="L11" s="17">
        <f t="shared" si="1"/>
        <v>1.3448551766145981E-2</v>
      </c>
    </row>
    <row r="12" spans="2:12" x14ac:dyDescent="0.25">
      <c r="B12" s="9">
        <v>42338</v>
      </c>
      <c r="C12" s="10" t="s">
        <v>10</v>
      </c>
      <c r="D12" s="11">
        <v>0</v>
      </c>
      <c r="E12" s="11">
        <v>8</v>
      </c>
      <c r="F12" s="12">
        <v>1.913</v>
      </c>
      <c r="I12" s="1">
        <v>4</v>
      </c>
      <c r="J12" s="1">
        <f>J11*(J11/J10)</f>
        <v>0.94460756846668203</v>
      </c>
      <c r="K12" s="1">
        <f t="shared" si="0"/>
        <v>1.9831556039569837E-2</v>
      </c>
      <c r="L12" s="17">
        <f t="shared" si="1"/>
        <v>1.4246427300323961E-2</v>
      </c>
    </row>
    <row r="13" spans="2:12" x14ac:dyDescent="0.25">
      <c r="B13" s="9">
        <v>42338</v>
      </c>
      <c r="C13" s="10" t="s">
        <v>11</v>
      </c>
      <c r="D13" s="11">
        <v>0</v>
      </c>
      <c r="E13" s="11">
        <v>9</v>
      </c>
      <c r="F13" s="12">
        <v>1.9970000000000001</v>
      </c>
      <c r="I13" s="1">
        <v>4.5</v>
      </c>
      <c r="J13" s="1">
        <f>Bootstrap(F9,J12,SUM(J$5:J12))*J12</f>
        <v>0.93435033937983514</v>
      </c>
      <c r="K13" s="1">
        <f t="shared" si="0"/>
        <v>2.183621237409502E-2</v>
      </c>
      <c r="L13" s="17">
        <f t="shared" si="1"/>
        <v>1.5089736752965179E-2</v>
      </c>
    </row>
    <row r="14" spans="2:12" x14ac:dyDescent="0.25">
      <c r="B14" s="9">
        <v>42338</v>
      </c>
      <c r="C14" s="10" t="s">
        <v>6</v>
      </c>
      <c r="D14" s="11">
        <v>0</v>
      </c>
      <c r="E14" s="11">
        <v>10</v>
      </c>
      <c r="F14" s="12">
        <v>2.0699999999999998</v>
      </c>
      <c r="I14" s="1">
        <v>5</v>
      </c>
      <c r="J14" s="1">
        <f>J13*(J13/J12)</f>
        <v>0.92420449067152022</v>
      </c>
      <c r="K14" s="1">
        <f t="shared" si="0"/>
        <v>2.183621237409502E-2</v>
      </c>
      <c r="L14" s="17">
        <f t="shared" si="1"/>
        <v>1.5764384315078171E-2</v>
      </c>
    </row>
    <row r="15" spans="2:12" x14ac:dyDescent="0.25">
      <c r="B15" s="9">
        <v>42338</v>
      </c>
      <c r="C15" s="10" t="s">
        <v>25</v>
      </c>
      <c r="D15" s="11">
        <v>0</v>
      </c>
      <c r="E15" s="11">
        <v>11</v>
      </c>
      <c r="F15" s="12">
        <v>2.1360000000000001</v>
      </c>
      <c r="I15" s="1">
        <v>5.5</v>
      </c>
      <c r="J15" s="1">
        <f>Bootstrap(F10,J14,SUM(J$5:J14))*J14</f>
        <v>0.91325371136640832</v>
      </c>
      <c r="K15" s="1">
        <f t="shared" si="0"/>
        <v>2.3839255657908273E-2</v>
      </c>
      <c r="L15" s="17">
        <f t="shared" si="1"/>
        <v>1.649846352806272E-2</v>
      </c>
    </row>
    <row r="16" spans="2:12" x14ac:dyDescent="0.25">
      <c r="B16" s="9">
        <v>42338</v>
      </c>
      <c r="C16" s="10" t="s">
        <v>26</v>
      </c>
      <c r="D16" s="11">
        <v>0</v>
      </c>
      <c r="E16" s="11">
        <v>12</v>
      </c>
      <c r="F16" s="12">
        <v>2.1930000000000001</v>
      </c>
      <c r="I16" s="1">
        <v>6</v>
      </c>
      <c r="J16" s="1">
        <f>J15*(J15/J14)</f>
        <v>0.90243268642691532</v>
      </c>
      <c r="K16" s="1">
        <f t="shared" si="0"/>
        <v>2.3839255657908273E-2</v>
      </c>
      <c r="L16" s="17">
        <f t="shared" si="1"/>
        <v>1.7110196205549846E-2</v>
      </c>
    </row>
    <row r="17" spans="2:12" x14ac:dyDescent="0.25">
      <c r="B17" s="9">
        <v>42338</v>
      </c>
      <c r="C17" s="10" t="s">
        <v>12</v>
      </c>
      <c r="D17" s="11">
        <v>0.98558633170486576</v>
      </c>
      <c r="E17" s="11">
        <v>15</v>
      </c>
      <c r="F17" s="12">
        <v>2.3170000000000002</v>
      </c>
      <c r="G17" s="16">
        <f>100*J34+F17*SUM(J$5:J34)/2-100</f>
        <v>-2.1941559680271894E-11</v>
      </c>
      <c r="I17" s="1">
        <v>6.5</v>
      </c>
      <c r="J17" s="1">
        <f>Bootstrap(F11,J16,SUM(J$5:J16))*J16</f>
        <v>0.89108671716123522</v>
      </c>
      <c r="K17" s="1">
        <f t="shared" si="0"/>
        <v>2.5304706711822434E-2</v>
      </c>
      <c r="L17" s="17">
        <f t="shared" si="1"/>
        <v>1.7740543167570819E-2</v>
      </c>
    </row>
    <row r="18" spans="2:12" x14ac:dyDescent="0.25">
      <c r="B18" s="9">
        <v>42338</v>
      </c>
      <c r="C18" s="10" t="s">
        <v>13</v>
      </c>
      <c r="D18" s="11">
        <v>0.98561523518317351</v>
      </c>
      <c r="E18" s="11">
        <v>20</v>
      </c>
      <c r="F18" s="12">
        <v>2.4380000000000002</v>
      </c>
      <c r="G18" s="16">
        <f>100*J44+F18*SUM(J$5:J44)/2-100</f>
        <v>5.2295945351943374E-12</v>
      </c>
      <c r="I18" s="1">
        <v>7</v>
      </c>
      <c r="J18" s="1">
        <f>J17*(J17/J16)</f>
        <v>0.87988339678285055</v>
      </c>
      <c r="K18" s="1">
        <f t="shared" si="0"/>
        <v>2.5304706711822434E-2</v>
      </c>
      <c r="L18" s="17">
        <f t="shared" si="1"/>
        <v>1.8280840563588783E-2</v>
      </c>
    </row>
    <row r="19" spans="2:12" x14ac:dyDescent="0.25">
      <c r="B19" s="9">
        <v>42338</v>
      </c>
      <c r="C19" s="10" t="s">
        <v>14</v>
      </c>
      <c r="D19" s="11">
        <v>0.98602058986824292</v>
      </c>
      <c r="E19" s="11">
        <v>25</v>
      </c>
      <c r="F19" s="12">
        <v>2.4969999999999999</v>
      </c>
      <c r="G19" s="16">
        <f>100*J54+F19*SUM(J$5:J54)/2-100</f>
        <v>2.0605739337042905E-12</v>
      </c>
      <c r="I19" s="1">
        <v>7.5</v>
      </c>
      <c r="J19" s="1">
        <f>Bootstrap(F12,J18,SUM(J$5:J18))*J18</f>
        <v>0.86831369766952371</v>
      </c>
      <c r="K19" s="1">
        <f t="shared" si="0"/>
        <v>2.6472685643739943E-2</v>
      </c>
      <c r="L19" s="17">
        <f t="shared" si="1"/>
        <v>1.8826963568932195E-2</v>
      </c>
    </row>
    <row r="20" spans="2:12" x14ac:dyDescent="0.25">
      <c r="B20" s="13">
        <v>42338</v>
      </c>
      <c r="C20" s="14" t="s">
        <v>7</v>
      </c>
      <c r="D20" s="2">
        <v>0.98613470579579987</v>
      </c>
      <c r="E20" s="2">
        <v>30</v>
      </c>
      <c r="F20" s="15">
        <v>2.5329999999999999</v>
      </c>
      <c r="G20" s="16">
        <f>100*J64+F20*SUM(J$5:J64)/2-100</f>
        <v>6.5369931689929217E-13</v>
      </c>
      <c r="I20" s="1">
        <v>8</v>
      </c>
      <c r="J20" s="1">
        <f>J19*(J19/J18)</f>
        <v>0.85689613000686671</v>
      </c>
      <c r="K20" s="1">
        <f t="shared" si="0"/>
        <v>2.6472685643739943E-2</v>
      </c>
      <c r="L20" s="17">
        <f t="shared" si="1"/>
        <v>1.9304821198607679E-2</v>
      </c>
    </row>
    <row r="21" spans="2:12" x14ac:dyDescent="0.25">
      <c r="G21" s="16"/>
      <c r="I21" s="1">
        <v>8.5</v>
      </c>
      <c r="J21" s="1">
        <f>Bootstrap(F13,J20,SUM(J$5:J20))*J20</f>
        <v>0.8452926139903949</v>
      </c>
      <c r="K21" s="1">
        <f t="shared" si="0"/>
        <v>2.7267706468363618E-2</v>
      </c>
      <c r="L21" s="17">
        <f t="shared" si="1"/>
        <v>1.9773226214475682E-2</v>
      </c>
    </row>
    <row r="22" spans="2:12" x14ac:dyDescent="0.25">
      <c r="I22" s="1">
        <v>9</v>
      </c>
      <c r="J22" s="1">
        <f>J21*(J21/J20)</f>
        <v>0.83384622505062433</v>
      </c>
      <c r="K22" s="1">
        <f t="shared" si="0"/>
        <v>2.7267706468363618E-2</v>
      </c>
      <c r="L22" s="17">
        <f t="shared" si="1"/>
        <v>2.0189586228580563E-2</v>
      </c>
    </row>
    <row r="23" spans="2:12" x14ac:dyDescent="0.25">
      <c r="I23" s="1">
        <v>9.5</v>
      </c>
      <c r="J23" s="1">
        <f>Bootstrap(F14,J22,SUM(J$5:J22))*J22</f>
        <v>0.82227757682300984</v>
      </c>
      <c r="K23" s="1">
        <f t="shared" si="0"/>
        <v>2.7941960343705188E-2</v>
      </c>
      <c r="L23" s="17">
        <f t="shared" si="1"/>
        <v>2.0597605918850282E-2</v>
      </c>
    </row>
    <row r="24" spans="2:12" x14ac:dyDescent="0.25">
      <c r="I24" s="1">
        <v>10</v>
      </c>
      <c r="J24" s="1">
        <f>J23*(J23/J22)</f>
        <v>0.81086943015766622</v>
      </c>
      <c r="K24" s="1">
        <f t="shared" si="0"/>
        <v>2.7941960343705188E-2</v>
      </c>
      <c r="L24" s="17">
        <f t="shared" si="1"/>
        <v>2.0964823640093028E-2</v>
      </c>
    </row>
    <row r="25" spans="2:12" x14ac:dyDescent="0.25">
      <c r="I25" s="1">
        <v>10.5</v>
      </c>
      <c r="J25" s="1">
        <f>Bootstrap(F15,J24,SUM(J$5:J24))*J24</f>
        <v>0.79929615062983406</v>
      </c>
      <c r="K25" s="1">
        <f t="shared" si="0"/>
        <v>2.8751027774946647E-2</v>
      </c>
      <c r="L25" s="17">
        <f t="shared" si="1"/>
        <v>2.1335595265562241E-2</v>
      </c>
    </row>
    <row r="26" spans="2:12" x14ac:dyDescent="0.25">
      <c r="I26" s="1">
        <v>11</v>
      </c>
      <c r="J26" s="1">
        <f>J25*(J25/J24)</f>
        <v>0.78788805281196383</v>
      </c>
      <c r="K26" s="1">
        <f t="shared" si="0"/>
        <v>2.8751027774946647E-2</v>
      </c>
      <c r="L26" s="17">
        <f t="shared" si="1"/>
        <v>2.1672660379625171E-2</v>
      </c>
    </row>
    <row r="27" spans="2:12" x14ac:dyDescent="0.25">
      <c r="I27" s="1">
        <v>11.5</v>
      </c>
      <c r="J27" s="1">
        <f>Bootstrap(F16,J26,SUM(J$5:J26))*J26</f>
        <v>0.77652277452149021</v>
      </c>
      <c r="K27" s="1">
        <f t="shared" si="0"/>
        <v>2.9060085870937221E-2</v>
      </c>
      <c r="L27" s="17">
        <f t="shared" si="1"/>
        <v>2.1993852792290911E-2</v>
      </c>
    </row>
    <row r="28" spans="2:12" x14ac:dyDescent="0.25">
      <c r="I28" s="1">
        <v>12</v>
      </c>
      <c r="J28" s="1">
        <f>J27*(J27/J26)</f>
        <v>0.76532144027123772</v>
      </c>
      <c r="K28" s="1">
        <f t="shared" si="0"/>
        <v>2.9060085870937221E-2</v>
      </c>
      <c r="L28" s="17">
        <f t="shared" si="1"/>
        <v>2.2288279170567835E-2</v>
      </c>
    </row>
    <row r="29" spans="2:12" x14ac:dyDescent="0.25">
      <c r="I29" s="1">
        <v>12.5</v>
      </c>
      <c r="J29" s="1">
        <f>J28*D$17</f>
        <v>0.75429035089201368</v>
      </c>
      <c r="K29" s="1">
        <f t="shared" si="0"/>
        <v>2.9037108586589408E-2</v>
      </c>
      <c r="L29" s="17">
        <f t="shared" si="1"/>
        <v>2.2558232347208704E-2</v>
      </c>
    </row>
    <row r="30" spans="2:12" x14ac:dyDescent="0.25">
      <c r="I30" s="1">
        <v>13</v>
      </c>
      <c r="J30" s="1">
        <f t="shared" ref="J30:J34" si="2">J29*D$17</f>
        <v>0.74341825997603583</v>
      </c>
      <c r="K30" s="1">
        <f t="shared" si="0"/>
        <v>2.9037108586589182E-2</v>
      </c>
      <c r="L30" s="17">
        <f t="shared" si="1"/>
        <v>2.2807419894877185E-2</v>
      </c>
    </row>
    <row r="31" spans="2:12" x14ac:dyDescent="0.25">
      <c r="I31" s="1">
        <v>13.5</v>
      </c>
      <c r="J31" s="1">
        <f t="shared" si="2"/>
        <v>0.73270287577219539</v>
      </c>
      <c r="K31" s="1">
        <f t="shared" si="0"/>
        <v>2.9037108586589408E-2</v>
      </c>
      <c r="L31" s="17">
        <f t="shared" si="1"/>
        <v>2.3038149105681343E-2</v>
      </c>
    </row>
    <row r="32" spans="2:12" x14ac:dyDescent="0.25">
      <c r="I32" s="1">
        <v>14</v>
      </c>
      <c r="J32" s="1">
        <f t="shared" si="2"/>
        <v>0.72214193956192407</v>
      </c>
      <c r="K32" s="1">
        <f t="shared" si="0"/>
        <v>2.9037108586589182E-2</v>
      </c>
      <c r="L32" s="17">
        <f t="shared" si="1"/>
        <v>2.3252397658570911E-2</v>
      </c>
    </row>
    <row r="33" spans="9:12" x14ac:dyDescent="0.25">
      <c r="I33" s="1">
        <v>14.5</v>
      </c>
      <c r="J33" s="1">
        <f t="shared" si="2"/>
        <v>0.71173322518307358</v>
      </c>
      <c r="K33" s="1">
        <f t="shared" si="0"/>
        <v>2.9037108586589408E-2</v>
      </c>
      <c r="L33" s="17">
        <f t="shared" si="1"/>
        <v>2.3451870449192242E-2</v>
      </c>
    </row>
    <row r="34" spans="9:12" x14ac:dyDescent="0.25">
      <c r="I34" s="1">
        <v>15</v>
      </c>
      <c r="J34" s="1">
        <f t="shared" si="2"/>
        <v>0.70147453856065867</v>
      </c>
      <c r="K34" s="1">
        <f t="shared" si="0"/>
        <v>2.9037108586589408E-2</v>
      </c>
      <c r="L34" s="17">
        <f t="shared" si="1"/>
        <v>2.363804505377215E-2</v>
      </c>
    </row>
    <row r="35" spans="9:12" x14ac:dyDescent="0.25">
      <c r="I35" s="1">
        <v>15.5</v>
      </c>
      <c r="J35" s="1">
        <f>J34*D$18</f>
        <v>0.69138399229847169</v>
      </c>
      <c r="K35" s="1">
        <f t="shared" si="0"/>
        <v>2.897845709443287E-2</v>
      </c>
      <c r="L35" s="17">
        <f t="shared" si="1"/>
        <v>2.3810316409922493E-2</v>
      </c>
    </row>
    <row r="36" spans="9:12" x14ac:dyDescent="0.25">
      <c r="I36" s="1">
        <v>16</v>
      </c>
      <c r="J36" s="1">
        <f t="shared" ref="J36:J44" si="3">J35*D$18</f>
        <v>0.68143859617113955</v>
      </c>
      <c r="K36" s="1">
        <f t="shared" si="0"/>
        <v>2.8978457094433096E-2</v>
      </c>
      <c r="L36" s="17">
        <f t="shared" si="1"/>
        <v>2.3971820806313448E-2</v>
      </c>
    </row>
    <row r="37" spans="9:12" x14ac:dyDescent="0.25">
      <c r="I37" s="1">
        <v>16.5</v>
      </c>
      <c r="J37" s="1">
        <f t="shared" si="3"/>
        <v>0.67163626222810935</v>
      </c>
      <c r="K37" s="1">
        <f t="shared" si="0"/>
        <v>2.897845709443287E-2</v>
      </c>
      <c r="L37" s="17">
        <f t="shared" si="1"/>
        <v>2.4123537057468579E-2</v>
      </c>
    </row>
    <row r="38" spans="9:12" x14ac:dyDescent="0.25">
      <c r="I38" s="1">
        <v>17</v>
      </c>
      <c r="J38" s="1">
        <f t="shared" si="3"/>
        <v>0.66197493255350559</v>
      </c>
      <c r="K38" s="1">
        <f t="shared" si="0"/>
        <v>2.897845709443287E-2</v>
      </c>
      <c r="L38" s="17">
        <f t="shared" si="1"/>
        <v>2.4266328823261647E-2</v>
      </c>
    </row>
    <row r="39" spans="9:12" x14ac:dyDescent="0.25">
      <c r="I39" s="1">
        <v>17.5</v>
      </c>
      <c r="J39" s="1">
        <f t="shared" si="3"/>
        <v>0.6524525788340888</v>
      </c>
      <c r="K39" s="1">
        <f t="shared" si="0"/>
        <v>2.897845709443287E-2</v>
      </c>
      <c r="L39" s="17">
        <f t="shared" si="1"/>
        <v>2.4400961059580829E-2</v>
      </c>
    </row>
    <row r="40" spans="9:12" x14ac:dyDescent="0.25">
      <c r="I40" s="1">
        <v>18</v>
      </c>
      <c r="J40" s="1">
        <f t="shared" si="3"/>
        <v>0.64306720193342848</v>
      </c>
      <c r="K40" s="1">
        <f t="shared" si="0"/>
        <v>2.897845709443287E-2</v>
      </c>
      <c r="L40" s="17">
        <f t="shared" si="1"/>
        <v>2.4528113727215608E-2</v>
      </c>
    </row>
    <row r="41" spans="9:12" x14ac:dyDescent="0.25">
      <c r="I41" s="1">
        <v>18.5</v>
      </c>
      <c r="J41" s="1">
        <f t="shared" si="3"/>
        <v>0.63381683147220147</v>
      </c>
      <c r="K41" s="1">
        <f t="shared" si="0"/>
        <v>2.897845709443287E-2</v>
      </c>
      <c r="L41" s="17">
        <f t="shared" si="1"/>
        <v>2.4648393277680935E-2</v>
      </c>
    </row>
    <row r="42" spans="9:12" x14ac:dyDescent="0.25">
      <c r="I42" s="1">
        <v>19</v>
      </c>
      <c r="J42" s="1">
        <f t="shared" si="3"/>
        <v>0.62469952541452767</v>
      </c>
      <c r="K42" s="1">
        <f t="shared" si="0"/>
        <v>2.897845709443287E-2</v>
      </c>
      <c r="L42" s="17">
        <f t="shared" si="1"/>
        <v>2.47623423254902E-2</v>
      </c>
    </row>
    <row r="43" spans="9:12" x14ac:dyDescent="0.25">
      <c r="I43" s="1">
        <v>19.5</v>
      </c>
      <c r="J43" s="1">
        <f t="shared" si="3"/>
        <v>0.61571336966025658</v>
      </c>
      <c r="K43" s="1">
        <f t="shared" si="0"/>
        <v>2.897845709443287E-2</v>
      </c>
      <c r="L43" s="17">
        <f t="shared" si="1"/>
        <v>2.4870447832386164E-2</v>
      </c>
    </row>
    <row r="44" spans="9:12" x14ac:dyDescent="0.25">
      <c r="I44" s="1">
        <v>20</v>
      </c>
      <c r="J44" s="1">
        <f t="shared" si="3"/>
        <v>0.60685647764311801</v>
      </c>
      <c r="K44" s="1">
        <f t="shared" si="0"/>
        <v>2.897845709443287E-2</v>
      </c>
      <c r="L44" s="17">
        <f t="shared" si="1"/>
        <v>2.4973148063937335E-2</v>
      </c>
    </row>
    <row r="45" spans="9:12" x14ac:dyDescent="0.25">
      <c r="I45" s="1">
        <v>20.5</v>
      </c>
      <c r="J45" s="1">
        <f>J44*D$19</f>
        <v>0.5983729820510314</v>
      </c>
      <c r="K45" s="1">
        <f t="shared" si="0"/>
        <v>2.815608475643766E-2</v>
      </c>
      <c r="L45" s="17">
        <f t="shared" si="1"/>
        <v>2.5050780666193442E-2</v>
      </c>
    </row>
    <row r="46" spans="9:12" x14ac:dyDescent="0.25">
      <c r="I46" s="1">
        <v>21</v>
      </c>
      <c r="J46" s="1">
        <f t="shared" ref="J46:J54" si="4">J45*D$19</f>
        <v>0.59000808072317756</v>
      </c>
      <c r="K46" s="1">
        <f t="shared" si="0"/>
        <v>2.8156084756437435E-2</v>
      </c>
      <c r="L46" s="17">
        <f t="shared" si="1"/>
        <v>2.5124716477865919E-2</v>
      </c>
    </row>
    <row r="47" spans="9:12" x14ac:dyDescent="0.25">
      <c r="I47" s="1">
        <v>21.5</v>
      </c>
      <c r="J47" s="1">
        <f t="shared" si="4"/>
        <v>0.5817601157816974</v>
      </c>
      <c r="K47" s="1">
        <f t="shared" si="0"/>
        <v>2.8156084756437886E-2</v>
      </c>
      <c r="L47" s="17">
        <f t="shared" si="1"/>
        <v>2.5195213414576891E-2</v>
      </c>
    </row>
    <row r="48" spans="9:12" x14ac:dyDescent="0.25">
      <c r="I48" s="1">
        <v>22</v>
      </c>
      <c r="J48" s="1">
        <f t="shared" si="4"/>
        <v>0.57362745252488656</v>
      </c>
      <c r="K48" s="1">
        <f t="shared" si="0"/>
        <v>2.815608475643766E-2</v>
      </c>
      <c r="L48" s="17">
        <f t="shared" si="1"/>
        <v>2.5262505945073729E-2</v>
      </c>
    </row>
    <row r="49" spans="9:12" x14ac:dyDescent="0.25">
      <c r="I49" s="1">
        <v>22.5</v>
      </c>
      <c r="J49" s="1">
        <f t="shared" si="4"/>
        <v>0.56560847910320611</v>
      </c>
      <c r="K49" s="1">
        <f t="shared" si="0"/>
        <v>2.8156084756437886E-2</v>
      </c>
      <c r="L49" s="17">
        <f t="shared" si="1"/>
        <v>2.5326807696437376E-2</v>
      </c>
    </row>
    <row r="50" spans="9:12" x14ac:dyDescent="0.25">
      <c r="I50" s="1">
        <v>23</v>
      </c>
      <c r="J50" s="1">
        <f t="shared" si="4"/>
        <v>0.55770160619982301</v>
      </c>
      <c r="K50" s="1">
        <f t="shared" si="0"/>
        <v>2.815608475643766E-2</v>
      </c>
      <c r="L50" s="17">
        <f t="shared" si="1"/>
        <v>2.5388313719480863E-2</v>
      </c>
    </row>
    <row r="51" spans="9:12" x14ac:dyDescent="0.25">
      <c r="I51" s="1">
        <v>23.5</v>
      </c>
      <c r="J51" s="1">
        <f t="shared" si="4"/>
        <v>0.54990526671561601</v>
      </c>
      <c r="K51" s="1">
        <f t="shared" si="0"/>
        <v>2.815608475643766E-2</v>
      </c>
      <c r="L51" s="17">
        <f t="shared" si="1"/>
        <v>2.544720246494803E-2</v>
      </c>
    </row>
    <row r="52" spans="9:12" x14ac:dyDescent="0.25">
      <c r="I52" s="1">
        <v>24</v>
      </c>
      <c r="J52" s="1">
        <f t="shared" si="4"/>
        <v>0.54221791545858511</v>
      </c>
      <c r="K52" s="1">
        <f t="shared" si="0"/>
        <v>2.8156084756437886E-2</v>
      </c>
      <c r="L52" s="17">
        <f t="shared" si="1"/>
        <v>2.5503637512687399E-2</v>
      </c>
    </row>
    <row r="53" spans="9:12" x14ac:dyDescent="0.25">
      <c r="I53" s="1">
        <v>24.5</v>
      </c>
      <c r="J53" s="1">
        <f t="shared" si="4"/>
        <v>0.53463802883760314</v>
      </c>
      <c r="K53" s="1">
        <f t="shared" si="0"/>
        <v>2.815608475643766E-2</v>
      </c>
      <c r="L53" s="17">
        <f t="shared" si="1"/>
        <v>2.5557769089090465E-2</v>
      </c>
    </row>
    <row r="54" spans="9:12" x14ac:dyDescent="0.25">
      <c r="I54" s="1">
        <v>25</v>
      </c>
      <c r="J54" s="1">
        <f t="shared" si="4"/>
        <v>0.52716410456044815</v>
      </c>
      <c r="K54" s="1">
        <f t="shared" si="0"/>
        <v>2.8156084756437435E-2</v>
      </c>
      <c r="L54" s="17">
        <f t="shared" si="1"/>
        <v>2.5609735402437404E-2</v>
      </c>
    </row>
    <row r="55" spans="9:12" x14ac:dyDescent="0.25">
      <c r="I55" s="1">
        <v>25.5</v>
      </c>
      <c r="J55" s="1">
        <f>J54*D$20</f>
        <v>0.51985481915682386</v>
      </c>
      <c r="K55" s="1">
        <f t="shared" si="0"/>
        <v>2.7924630513589115E-2</v>
      </c>
      <c r="L55" s="17">
        <f t="shared" si="1"/>
        <v>2.5655125502656074E-2</v>
      </c>
    </row>
    <row r="56" spans="9:12" x14ac:dyDescent="0.25">
      <c r="I56" s="1">
        <v>26</v>
      </c>
      <c r="J56" s="1">
        <f t="shared" ref="J56:J64" si="5">J55*D$20</f>
        <v>0.51264687914574325</v>
      </c>
      <c r="K56" s="1">
        <f t="shared" si="0"/>
        <v>2.792463051358934E-2</v>
      </c>
      <c r="L56" s="17">
        <f t="shared" si="1"/>
        <v>2.56987698297894E-2</v>
      </c>
    </row>
    <row r="57" spans="9:12" x14ac:dyDescent="0.25">
      <c r="I57" s="1">
        <v>26.5</v>
      </c>
      <c r="J57" s="1">
        <f t="shared" si="5"/>
        <v>0.50553887934352248</v>
      </c>
      <c r="K57" s="1">
        <f t="shared" si="0"/>
        <v>2.792463051358934E-2</v>
      </c>
      <c r="L57" s="17">
        <f t="shared" si="1"/>
        <v>2.5740767201181854E-2</v>
      </c>
    </row>
    <row r="58" spans="9:12" x14ac:dyDescent="0.25">
      <c r="I58" s="1">
        <v>27</v>
      </c>
      <c r="J58" s="1">
        <f t="shared" si="5"/>
        <v>0.49852943404976291</v>
      </c>
      <c r="K58" s="1">
        <f t="shared" si="0"/>
        <v>2.792463051358934E-2</v>
      </c>
      <c r="L58" s="17">
        <f t="shared" si="1"/>
        <v>2.5781209114374586E-2</v>
      </c>
    </row>
    <row r="59" spans="9:12" x14ac:dyDescent="0.25">
      <c r="I59" s="1">
        <v>27.5</v>
      </c>
      <c r="J59" s="1">
        <f t="shared" si="5"/>
        <v>0.49161717677720956</v>
      </c>
      <c r="K59" s="1">
        <f t="shared" si="0"/>
        <v>2.792463051358934E-2</v>
      </c>
      <c r="L59" s="17">
        <f t="shared" si="1"/>
        <v>2.5820180412542124E-2</v>
      </c>
    </row>
    <row r="60" spans="9:12" x14ac:dyDescent="0.25">
      <c r="I60" s="1">
        <v>28</v>
      </c>
      <c r="J60" s="1">
        <f t="shared" si="5"/>
        <v>0.48480075998535527</v>
      </c>
      <c r="K60" s="1">
        <f t="shared" si="0"/>
        <v>2.792463051358934E-2</v>
      </c>
      <c r="L60" s="17">
        <f t="shared" si="1"/>
        <v>2.5857759878632258E-2</v>
      </c>
    </row>
    <row r="61" spans="9:12" x14ac:dyDescent="0.25">
      <c r="I61" s="1">
        <v>28.5</v>
      </c>
      <c r="J61" s="1">
        <f t="shared" si="5"/>
        <v>0.47807885481773849</v>
      </c>
      <c r="K61" s="1">
        <f t="shared" si="0"/>
        <v>2.792463051358934E-2</v>
      </c>
      <c r="L61" s="17">
        <f t="shared" si="1"/>
        <v>2.5894020766964839E-2</v>
      </c>
    </row>
    <row r="62" spans="9:12" x14ac:dyDescent="0.25">
      <c r="I62" s="1">
        <v>29</v>
      </c>
      <c r="J62" s="1">
        <f t="shared" si="5"/>
        <v>0.47145015084288344</v>
      </c>
      <c r="K62" s="1">
        <f t="shared" si="0"/>
        <v>2.792463051358934E-2</v>
      </c>
      <c r="L62" s="17">
        <f t="shared" si="1"/>
        <v>2.5929031279837676E-2</v>
      </c>
    </row>
    <row r="63" spans="9:12" x14ac:dyDescent="0.25">
      <c r="I63" s="1">
        <v>29.5</v>
      </c>
      <c r="J63" s="1">
        <f t="shared" si="5"/>
        <v>0.46491335579883231</v>
      </c>
      <c r="K63" s="1">
        <f t="shared" si="0"/>
        <v>2.7924630513589566E-2</v>
      </c>
      <c r="L63" s="17">
        <f t="shared" si="1"/>
        <v>2.5962854995663979E-2</v>
      </c>
    </row>
    <row r="64" spans="9:12" x14ac:dyDescent="0.25">
      <c r="I64" s="1">
        <v>30</v>
      </c>
      <c r="J64" s="1">
        <f t="shared" si="5"/>
        <v>0.45846719534121955</v>
      </c>
      <c r="K64" s="1">
        <f t="shared" si="0"/>
        <v>2.792463051358934E-2</v>
      </c>
      <c r="L64" s="17">
        <f t="shared" si="1"/>
        <v>2.5995551254296066E-2</v>
      </c>
    </row>
  </sheetData>
  <conditionalFormatting sqref="E5:E20">
    <cfRule type="colorScale" priority="3">
      <colorScale>
        <cfvo type="min"/>
        <cfvo type="max"/>
        <color rgb="FFFCFCFF"/>
        <color rgb="FF63BE7B"/>
      </colorScale>
    </cfRule>
  </conditionalFormatting>
  <conditionalFormatting sqref="E4">
    <cfRule type="colorScale" priority="2">
      <colorScale>
        <cfvo type="min"/>
        <cfvo type="max"/>
        <color rgb="FFFCFCFF"/>
        <color rgb="FF63BE7B"/>
      </colorScale>
    </cfRule>
  </conditionalFormatting>
  <conditionalFormatting sqref="E4:E2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7" r:id="rId3" name="Bootstrap">
          <controlPr defaultSize="0" autoLine="0" r:id="rId4">
            <anchor moveWithCells="1">
              <from>
                <xdr:col>1</xdr:col>
                <xdr:colOff>9525</xdr:colOff>
                <xdr:row>21</xdr:row>
                <xdr:rowOff>180975</xdr:rowOff>
              </from>
              <to>
                <xdr:col>3</xdr:col>
                <xdr:colOff>9525</xdr:colOff>
                <xdr:row>23</xdr:row>
                <xdr:rowOff>180975</xdr:rowOff>
              </to>
            </anchor>
          </controlPr>
        </control>
      </mc:Choice>
      <mc:Fallback>
        <control shapeId="29697" r:id="rId3" name="Bootstrap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bootstrap</vt:lpstr>
    </vt:vector>
  </TitlesOfParts>
  <Company>American International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yayang</dc:creator>
  <cp:lastModifiedBy>Zhao, Ran</cp:lastModifiedBy>
  <dcterms:created xsi:type="dcterms:W3CDTF">2012-06-14T23:19:46Z</dcterms:created>
  <dcterms:modified xsi:type="dcterms:W3CDTF">2015-12-06T01:26:13Z</dcterms:modified>
</cp:coreProperties>
</file>