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4915" windowHeight="12075"/>
  </bookViews>
  <sheets>
    <sheet name="Delta Hedging" sheetId="1" r:id="rId1"/>
    <sheet name="Sheet3" sheetId="3" r:id="rId2"/>
  </sheets>
  <functionGroups builtInGroupCount="17"/>
  <definedNames>
    <definedName name="cost">'Delta Hedging'!$C$14</definedName>
    <definedName name="dividend">'Delta Hedging'!$C$8</definedName>
    <definedName name="futDelta">'Delta Hedging'!$C$21</definedName>
    <definedName name="futMult">'Delta Hedging'!$C$20</definedName>
    <definedName name="interestRate">'Delta Hedging'!$C$7</definedName>
    <definedName name="margin">'Delta Hedging'!$C$22</definedName>
    <definedName name="moneyness">'Delta Hedging'!$C$10</definedName>
    <definedName name="optMult">'Delta Hedging'!$C$13</definedName>
    <definedName name="OptType">'Delta Hedging'!$C$3</definedName>
    <definedName name="Side">'Delta Hedging'!$C$4</definedName>
    <definedName name="sigma">'Delta Hedging'!$C$6</definedName>
    <definedName name="Strike">'Delta Hedging'!$C$5</definedName>
    <definedName name="time">'Delta Hedging'!$C$9</definedName>
    <definedName name="units">'Delta Hedging'!$C$12</definedName>
  </definedNames>
  <calcPr calcId="145621"/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J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4" i="1"/>
  <c r="J4" i="1" s="1"/>
  <c r="J5" i="1" l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103" i="1" s="1"/>
  <c r="J104" i="1" s="1"/>
  <c r="J105" i="1" s="1"/>
  <c r="J106" i="1" s="1"/>
  <c r="J107" i="1" s="1"/>
  <c r="J108" i="1" s="1"/>
  <c r="J109" i="1" s="1"/>
  <c r="J110" i="1" s="1"/>
  <c r="J111" i="1" s="1"/>
  <c r="J112" i="1" s="1"/>
  <c r="J113" i="1" s="1"/>
  <c r="J114" i="1" s="1"/>
  <c r="J115" i="1" s="1"/>
  <c r="J116" i="1" s="1"/>
  <c r="J117" i="1" s="1"/>
  <c r="J118" i="1" s="1"/>
  <c r="J119" i="1" s="1"/>
  <c r="J120" i="1" s="1"/>
  <c r="J121" i="1" s="1"/>
  <c r="J122" i="1" s="1"/>
  <c r="J123" i="1" s="1"/>
  <c r="J124" i="1" s="1"/>
  <c r="J125" i="1" s="1"/>
  <c r="J126" i="1" s="1"/>
  <c r="J127" i="1" s="1"/>
  <c r="J128" i="1" s="1"/>
  <c r="J129" i="1" s="1"/>
  <c r="J130" i="1" s="1"/>
  <c r="J131" i="1" s="1"/>
  <c r="J132" i="1" s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J176" i="1" s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J216" i="1" s="1"/>
  <c r="J217" i="1" s="1"/>
  <c r="J218" i="1" s="1"/>
  <c r="J219" i="1" s="1"/>
  <c r="J220" i="1" s="1"/>
  <c r="J221" i="1" s="1"/>
  <c r="J222" i="1" s="1"/>
  <c r="J223" i="1" s="1"/>
  <c r="J224" i="1" s="1"/>
  <c r="J225" i="1" s="1"/>
  <c r="J226" i="1" s="1"/>
  <c r="J227" i="1" s="1"/>
  <c r="J228" i="1" s="1"/>
  <c r="J229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C29" i="1"/>
  <c r="C21" i="1" l="1"/>
  <c r="K3" i="1"/>
  <c r="C18" i="1"/>
  <c r="C14" i="1"/>
  <c r="X3" i="1" l="1"/>
  <c r="K4" i="1"/>
  <c r="C19" i="1"/>
  <c r="P4" i="1"/>
  <c r="G3" i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N3" i="1"/>
  <c r="N4" i="1"/>
  <c r="L3" i="1"/>
  <c r="L4" i="1"/>
  <c r="U4" i="1" l="1"/>
  <c r="M3" i="1"/>
  <c r="P3" i="1"/>
  <c r="Q3" i="1" s="1"/>
  <c r="K5" i="1"/>
  <c r="M4" i="1"/>
  <c r="Q4" i="1"/>
  <c r="G254" i="1"/>
  <c r="P254" i="1" s="1"/>
  <c r="F255" i="1"/>
  <c r="G255" i="1" s="1"/>
  <c r="P255" i="1" s="1"/>
  <c r="O3" i="1"/>
  <c r="O4" i="1"/>
  <c r="G246" i="1"/>
  <c r="P246" i="1" s="1"/>
  <c r="G238" i="1"/>
  <c r="P238" i="1" s="1"/>
  <c r="G226" i="1"/>
  <c r="P226" i="1" s="1"/>
  <c r="G251" i="1"/>
  <c r="P251" i="1" s="1"/>
  <c r="G247" i="1"/>
  <c r="P247" i="1" s="1"/>
  <c r="G243" i="1"/>
  <c r="P243" i="1" s="1"/>
  <c r="G239" i="1"/>
  <c r="P239" i="1" s="1"/>
  <c r="G235" i="1"/>
  <c r="P235" i="1" s="1"/>
  <c r="G231" i="1"/>
  <c r="P231" i="1" s="1"/>
  <c r="G227" i="1"/>
  <c r="P227" i="1" s="1"/>
  <c r="G223" i="1"/>
  <c r="P223" i="1" s="1"/>
  <c r="G219" i="1"/>
  <c r="P219" i="1" s="1"/>
  <c r="G215" i="1"/>
  <c r="P215" i="1" s="1"/>
  <c r="G211" i="1"/>
  <c r="P211" i="1" s="1"/>
  <c r="G207" i="1"/>
  <c r="P207" i="1" s="1"/>
  <c r="G203" i="1"/>
  <c r="P203" i="1" s="1"/>
  <c r="G199" i="1"/>
  <c r="P199" i="1" s="1"/>
  <c r="G195" i="1"/>
  <c r="P195" i="1" s="1"/>
  <c r="G191" i="1"/>
  <c r="P191" i="1" s="1"/>
  <c r="G187" i="1"/>
  <c r="P187" i="1" s="1"/>
  <c r="G183" i="1"/>
  <c r="P183" i="1" s="1"/>
  <c r="G179" i="1"/>
  <c r="P179" i="1" s="1"/>
  <c r="G175" i="1"/>
  <c r="P175" i="1" s="1"/>
  <c r="G171" i="1"/>
  <c r="P171" i="1" s="1"/>
  <c r="G167" i="1"/>
  <c r="P167" i="1" s="1"/>
  <c r="G163" i="1"/>
  <c r="P163" i="1" s="1"/>
  <c r="G159" i="1"/>
  <c r="P159" i="1" s="1"/>
  <c r="G155" i="1"/>
  <c r="P155" i="1" s="1"/>
  <c r="G151" i="1"/>
  <c r="P151" i="1" s="1"/>
  <c r="G147" i="1"/>
  <c r="P147" i="1" s="1"/>
  <c r="G143" i="1"/>
  <c r="P143" i="1" s="1"/>
  <c r="G139" i="1"/>
  <c r="P139" i="1" s="1"/>
  <c r="G135" i="1"/>
  <c r="P135" i="1" s="1"/>
  <c r="G131" i="1"/>
  <c r="P131" i="1" s="1"/>
  <c r="G127" i="1"/>
  <c r="P127" i="1" s="1"/>
  <c r="G123" i="1"/>
  <c r="P123" i="1" s="1"/>
  <c r="G119" i="1"/>
  <c r="P119" i="1" s="1"/>
  <c r="G115" i="1"/>
  <c r="P115" i="1" s="1"/>
  <c r="G111" i="1"/>
  <c r="P111" i="1" s="1"/>
  <c r="G107" i="1"/>
  <c r="P107" i="1" s="1"/>
  <c r="G103" i="1"/>
  <c r="P103" i="1" s="1"/>
  <c r="G99" i="1"/>
  <c r="P99" i="1" s="1"/>
  <c r="G95" i="1"/>
  <c r="P95" i="1" s="1"/>
  <c r="G91" i="1"/>
  <c r="P91" i="1" s="1"/>
  <c r="G87" i="1"/>
  <c r="P87" i="1" s="1"/>
  <c r="G83" i="1"/>
  <c r="P83" i="1" s="1"/>
  <c r="G79" i="1"/>
  <c r="P79" i="1" s="1"/>
  <c r="G75" i="1"/>
  <c r="P75" i="1" s="1"/>
  <c r="G71" i="1"/>
  <c r="P71" i="1" s="1"/>
  <c r="G67" i="1"/>
  <c r="P67" i="1" s="1"/>
  <c r="G63" i="1"/>
  <c r="P63" i="1" s="1"/>
  <c r="G59" i="1"/>
  <c r="P59" i="1" s="1"/>
  <c r="G55" i="1"/>
  <c r="P55" i="1" s="1"/>
  <c r="G51" i="1"/>
  <c r="P51" i="1" s="1"/>
  <c r="G47" i="1"/>
  <c r="P47" i="1" s="1"/>
  <c r="G43" i="1"/>
  <c r="P43" i="1" s="1"/>
  <c r="G39" i="1"/>
  <c r="P39" i="1" s="1"/>
  <c r="G35" i="1"/>
  <c r="P35" i="1" s="1"/>
  <c r="G31" i="1"/>
  <c r="P31" i="1" s="1"/>
  <c r="G27" i="1"/>
  <c r="P27" i="1" s="1"/>
  <c r="G23" i="1"/>
  <c r="P23" i="1" s="1"/>
  <c r="G19" i="1"/>
  <c r="P19" i="1" s="1"/>
  <c r="P15" i="1"/>
  <c r="P11" i="1"/>
  <c r="P7" i="1"/>
  <c r="G250" i="1"/>
  <c r="P250" i="1" s="1"/>
  <c r="G234" i="1"/>
  <c r="P234" i="1" s="1"/>
  <c r="G218" i="1"/>
  <c r="P218" i="1" s="1"/>
  <c r="G210" i="1"/>
  <c r="P210" i="1" s="1"/>
  <c r="G202" i="1"/>
  <c r="P202" i="1" s="1"/>
  <c r="G198" i="1"/>
  <c r="P198" i="1" s="1"/>
  <c r="G194" i="1"/>
  <c r="P194" i="1" s="1"/>
  <c r="G190" i="1"/>
  <c r="P190" i="1" s="1"/>
  <c r="G186" i="1"/>
  <c r="P186" i="1" s="1"/>
  <c r="G182" i="1"/>
  <c r="P182" i="1" s="1"/>
  <c r="G178" i="1"/>
  <c r="P178" i="1" s="1"/>
  <c r="G174" i="1"/>
  <c r="P174" i="1" s="1"/>
  <c r="G170" i="1"/>
  <c r="P170" i="1" s="1"/>
  <c r="G166" i="1"/>
  <c r="P166" i="1" s="1"/>
  <c r="G162" i="1"/>
  <c r="P162" i="1" s="1"/>
  <c r="G158" i="1"/>
  <c r="P158" i="1" s="1"/>
  <c r="G154" i="1"/>
  <c r="P154" i="1" s="1"/>
  <c r="G150" i="1"/>
  <c r="P150" i="1" s="1"/>
  <c r="G146" i="1"/>
  <c r="P146" i="1" s="1"/>
  <c r="G142" i="1"/>
  <c r="P142" i="1" s="1"/>
  <c r="G138" i="1"/>
  <c r="P138" i="1" s="1"/>
  <c r="G134" i="1"/>
  <c r="P134" i="1" s="1"/>
  <c r="G130" i="1"/>
  <c r="P130" i="1" s="1"/>
  <c r="G126" i="1"/>
  <c r="P126" i="1" s="1"/>
  <c r="G122" i="1"/>
  <c r="P122" i="1" s="1"/>
  <c r="G118" i="1"/>
  <c r="P118" i="1" s="1"/>
  <c r="G114" i="1"/>
  <c r="P114" i="1" s="1"/>
  <c r="G110" i="1"/>
  <c r="P110" i="1" s="1"/>
  <c r="G106" i="1"/>
  <c r="P106" i="1" s="1"/>
  <c r="G102" i="1"/>
  <c r="P102" i="1" s="1"/>
  <c r="G98" i="1"/>
  <c r="P98" i="1" s="1"/>
  <c r="G94" i="1"/>
  <c r="P94" i="1" s="1"/>
  <c r="G90" i="1"/>
  <c r="P90" i="1" s="1"/>
  <c r="G86" i="1"/>
  <c r="P86" i="1" s="1"/>
  <c r="G82" i="1"/>
  <c r="P82" i="1" s="1"/>
  <c r="G78" i="1"/>
  <c r="P78" i="1" s="1"/>
  <c r="G74" i="1"/>
  <c r="P74" i="1" s="1"/>
  <c r="G70" i="1"/>
  <c r="P70" i="1" s="1"/>
  <c r="G66" i="1"/>
  <c r="P66" i="1" s="1"/>
  <c r="G62" i="1"/>
  <c r="P62" i="1" s="1"/>
  <c r="G58" i="1"/>
  <c r="P58" i="1" s="1"/>
  <c r="G54" i="1"/>
  <c r="P54" i="1" s="1"/>
  <c r="G50" i="1"/>
  <c r="P50" i="1" s="1"/>
  <c r="G46" i="1"/>
  <c r="P46" i="1" s="1"/>
  <c r="G42" i="1"/>
  <c r="P42" i="1" s="1"/>
  <c r="G38" i="1"/>
  <c r="P38" i="1" s="1"/>
  <c r="G34" i="1"/>
  <c r="P34" i="1" s="1"/>
  <c r="G30" i="1"/>
  <c r="P30" i="1" s="1"/>
  <c r="G26" i="1"/>
  <c r="P26" i="1" s="1"/>
  <c r="G22" i="1"/>
  <c r="P22" i="1" s="1"/>
  <c r="G18" i="1"/>
  <c r="P18" i="1" s="1"/>
  <c r="P14" i="1"/>
  <c r="P10" i="1"/>
  <c r="P6" i="1"/>
  <c r="G242" i="1"/>
  <c r="P242" i="1" s="1"/>
  <c r="G230" i="1"/>
  <c r="P230" i="1" s="1"/>
  <c r="G222" i="1"/>
  <c r="P222" i="1" s="1"/>
  <c r="G214" i="1"/>
  <c r="P214" i="1" s="1"/>
  <c r="G206" i="1"/>
  <c r="P206" i="1" s="1"/>
  <c r="G253" i="1"/>
  <c r="P253" i="1" s="1"/>
  <c r="G249" i="1"/>
  <c r="P249" i="1" s="1"/>
  <c r="G245" i="1"/>
  <c r="P245" i="1" s="1"/>
  <c r="G241" i="1"/>
  <c r="P241" i="1" s="1"/>
  <c r="G237" i="1"/>
  <c r="P237" i="1" s="1"/>
  <c r="G233" i="1"/>
  <c r="P233" i="1" s="1"/>
  <c r="G229" i="1"/>
  <c r="P229" i="1" s="1"/>
  <c r="G225" i="1"/>
  <c r="P225" i="1" s="1"/>
  <c r="G221" i="1"/>
  <c r="P221" i="1" s="1"/>
  <c r="G217" i="1"/>
  <c r="P217" i="1" s="1"/>
  <c r="G213" i="1"/>
  <c r="P213" i="1" s="1"/>
  <c r="G209" i="1"/>
  <c r="P209" i="1" s="1"/>
  <c r="G205" i="1"/>
  <c r="P205" i="1" s="1"/>
  <c r="G201" i="1"/>
  <c r="P201" i="1" s="1"/>
  <c r="G197" i="1"/>
  <c r="P197" i="1" s="1"/>
  <c r="G193" i="1"/>
  <c r="P193" i="1" s="1"/>
  <c r="G189" i="1"/>
  <c r="P189" i="1" s="1"/>
  <c r="G185" i="1"/>
  <c r="P185" i="1" s="1"/>
  <c r="G181" i="1"/>
  <c r="P181" i="1" s="1"/>
  <c r="G177" i="1"/>
  <c r="P177" i="1" s="1"/>
  <c r="G173" i="1"/>
  <c r="P173" i="1" s="1"/>
  <c r="G169" i="1"/>
  <c r="P169" i="1" s="1"/>
  <c r="G165" i="1"/>
  <c r="P165" i="1" s="1"/>
  <c r="G161" i="1"/>
  <c r="P161" i="1" s="1"/>
  <c r="G157" i="1"/>
  <c r="P157" i="1" s="1"/>
  <c r="G153" i="1"/>
  <c r="P153" i="1" s="1"/>
  <c r="G149" i="1"/>
  <c r="P149" i="1" s="1"/>
  <c r="G145" i="1"/>
  <c r="P145" i="1" s="1"/>
  <c r="G141" i="1"/>
  <c r="P141" i="1" s="1"/>
  <c r="G137" i="1"/>
  <c r="P137" i="1" s="1"/>
  <c r="G133" i="1"/>
  <c r="P133" i="1" s="1"/>
  <c r="G129" i="1"/>
  <c r="P129" i="1" s="1"/>
  <c r="G125" i="1"/>
  <c r="P125" i="1" s="1"/>
  <c r="G121" i="1"/>
  <c r="P121" i="1" s="1"/>
  <c r="G117" i="1"/>
  <c r="P117" i="1" s="1"/>
  <c r="G113" i="1"/>
  <c r="P113" i="1" s="1"/>
  <c r="G109" i="1"/>
  <c r="P109" i="1" s="1"/>
  <c r="G105" i="1"/>
  <c r="P105" i="1" s="1"/>
  <c r="G101" i="1"/>
  <c r="P101" i="1" s="1"/>
  <c r="G97" i="1"/>
  <c r="P97" i="1" s="1"/>
  <c r="G93" i="1"/>
  <c r="P93" i="1" s="1"/>
  <c r="G89" i="1"/>
  <c r="P89" i="1" s="1"/>
  <c r="G85" i="1"/>
  <c r="P85" i="1" s="1"/>
  <c r="G81" i="1"/>
  <c r="P81" i="1" s="1"/>
  <c r="G77" i="1"/>
  <c r="P77" i="1" s="1"/>
  <c r="G73" i="1"/>
  <c r="P73" i="1" s="1"/>
  <c r="G69" i="1"/>
  <c r="P69" i="1" s="1"/>
  <c r="G65" i="1"/>
  <c r="P65" i="1" s="1"/>
  <c r="G61" i="1"/>
  <c r="P61" i="1" s="1"/>
  <c r="G57" i="1"/>
  <c r="P57" i="1" s="1"/>
  <c r="G53" i="1"/>
  <c r="P53" i="1" s="1"/>
  <c r="G49" i="1"/>
  <c r="P49" i="1" s="1"/>
  <c r="G45" i="1"/>
  <c r="P45" i="1" s="1"/>
  <c r="G41" i="1"/>
  <c r="P41" i="1" s="1"/>
  <c r="G37" i="1"/>
  <c r="P37" i="1" s="1"/>
  <c r="G33" i="1"/>
  <c r="P33" i="1" s="1"/>
  <c r="G29" i="1"/>
  <c r="P29" i="1" s="1"/>
  <c r="G25" i="1"/>
  <c r="P25" i="1" s="1"/>
  <c r="G21" i="1"/>
  <c r="P21" i="1" s="1"/>
  <c r="G17" i="1"/>
  <c r="P17" i="1" s="1"/>
  <c r="P13" i="1"/>
  <c r="P9" i="1"/>
  <c r="P5" i="1"/>
  <c r="G252" i="1"/>
  <c r="P252" i="1" s="1"/>
  <c r="G248" i="1"/>
  <c r="P248" i="1" s="1"/>
  <c r="G244" i="1"/>
  <c r="P244" i="1" s="1"/>
  <c r="G240" i="1"/>
  <c r="P240" i="1" s="1"/>
  <c r="G236" i="1"/>
  <c r="P236" i="1" s="1"/>
  <c r="G232" i="1"/>
  <c r="P232" i="1" s="1"/>
  <c r="G228" i="1"/>
  <c r="P228" i="1" s="1"/>
  <c r="G224" i="1"/>
  <c r="P224" i="1" s="1"/>
  <c r="G220" i="1"/>
  <c r="P220" i="1" s="1"/>
  <c r="G216" i="1"/>
  <c r="P216" i="1" s="1"/>
  <c r="G212" i="1"/>
  <c r="P212" i="1" s="1"/>
  <c r="G208" i="1"/>
  <c r="P208" i="1" s="1"/>
  <c r="G204" i="1"/>
  <c r="P204" i="1" s="1"/>
  <c r="G200" i="1"/>
  <c r="P200" i="1" s="1"/>
  <c r="G196" i="1"/>
  <c r="P196" i="1" s="1"/>
  <c r="G192" i="1"/>
  <c r="P192" i="1" s="1"/>
  <c r="G188" i="1"/>
  <c r="P188" i="1" s="1"/>
  <c r="G184" i="1"/>
  <c r="P184" i="1" s="1"/>
  <c r="G180" i="1"/>
  <c r="P180" i="1" s="1"/>
  <c r="G176" i="1"/>
  <c r="P176" i="1" s="1"/>
  <c r="G172" i="1"/>
  <c r="P172" i="1" s="1"/>
  <c r="G168" i="1"/>
  <c r="P168" i="1" s="1"/>
  <c r="G164" i="1"/>
  <c r="P164" i="1" s="1"/>
  <c r="G160" i="1"/>
  <c r="P160" i="1" s="1"/>
  <c r="G156" i="1"/>
  <c r="P156" i="1" s="1"/>
  <c r="G152" i="1"/>
  <c r="P152" i="1" s="1"/>
  <c r="G148" i="1"/>
  <c r="P148" i="1" s="1"/>
  <c r="G144" i="1"/>
  <c r="P144" i="1" s="1"/>
  <c r="G140" i="1"/>
  <c r="P140" i="1" s="1"/>
  <c r="G136" i="1"/>
  <c r="P136" i="1" s="1"/>
  <c r="G132" i="1"/>
  <c r="P132" i="1" s="1"/>
  <c r="G128" i="1"/>
  <c r="P128" i="1" s="1"/>
  <c r="G124" i="1"/>
  <c r="P124" i="1" s="1"/>
  <c r="G120" i="1"/>
  <c r="P120" i="1" s="1"/>
  <c r="G116" i="1"/>
  <c r="P116" i="1" s="1"/>
  <c r="G112" i="1"/>
  <c r="P112" i="1" s="1"/>
  <c r="G108" i="1"/>
  <c r="P108" i="1" s="1"/>
  <c r="G104" i="1"/>
  <c r="P104" i="1" s="1"/>
  <c r="G100" i="1"/>
  <c r="P100" i="1" s="1"/>
  <c r="G96" i="1"/>
  <c r="P96" i="1" s="1"/>
  <c r="G92" i="1"/>
  <c r="P92" i="1" s="1"/>
  <c r="G88" i="1"/>
  <c r="P88" i="1" s="1"/>
  <c r="G84" i="1"/>
  <c r="P84" i="1" s="1"/>
  <c r="G80" i="1"/>
  <c r="P80" i="1" s="1"/>
  <c r="G76" i="1"/>
  <c r="P76" i="1" s="1"/>
  <c r="G72" i="1"/>
  <c r="P72" i="1" s="1"/>
  <c r="G68" i="1"/>
  <c r="P68" i="1" s="1"/>
  <c r="G64" i="1"/>
  <c r="P64" i="1" s="1"/>
  <c r="G60" i="1"/>
  <c r="P60" i="1" s="1"/>
  <c r="G56" i="1"/>
  <c r="P56" i="1" s="1"/>
  <c r="G52" i="1"/>
  <c r="P52" i="1" s="1"/>
  <c r="G48" i="1"/>
  <c r="P48" i="1" s="1"/>
  <c r="G44" i="1"/>
  <c r="P44" i="1" s="1"/>
  <c r="G40" i="1"/>
  <c r="P40" i="1" s="1"/>
  <c r="G36" i="1"/>
  <c r="P36" i="1" s="1"/>
  <c r="G32" i="1"/>
  <c r="P32" i="1" s="1"/>
  <c r="G28" i="1"/>
  <c r="P28" i="1" s="1"/>
  <c r="G24" i="1"/>
  <c r="P24" i="1" s="1"/>
  <c r="G20" i="1"/>
  <c r="P20" i="1" s="1"/>
  <c r="P16" i="1"/>
  <c r="P12" i="1"/>
  <c r="P8" i="1"/>
  <c r="N5" i="1"/>
  <c r="L5" i="1"/>
  <c r="U5" i="1" l="1"/>
  <c r="R4" i="1"/>
  <c r="K6" i="1"/>
  <c r="T4" i="1"/>
  <c r="M5" i="1"/>
  <c r="T5" i="1" s="1"/>
  <c r="R3" i="1"/>
  <c r="S3" i="1" s="1"/>
  <c r="V4" i="1" s="1"/>
  <c r="Y4" i="1" s="1"/>
  <c r="Q5" i="1"/>
  <c r="R5" i="1" s="1"/>
  <c r="O5" i="1"/>
  <c r="N6" i="1"/>
  <c r="L6" i="1"/>
  <c r="U6" i="1" l="1"/>
  <c r="X4" i="1"/>
  <c r="X5" i="1" s="1"/>
  <c r="W4" i="1"/>
  <c r="K7" i="1"/>
  <c r="S4" i="1"/>
  <c r="V5" i="1" s="1"/>
  <c r="Y5" i="1" s="1"/>
  <c r="M6" i="1"/>
  <c r="T6" i="1" s="1"/>
  <c r="Q6" i="1"/>
  <c r="R6" i="1" s="1"/>
  <c r="O6" i="1"/>
  <c r="N7" i="1"/>
  <c r="L7" i="1"/>
  <c r="U7" i="1" l="1"/>
  <c r="W5" i="1"/>
  <c r="X6" i="1"/>
  <c r="S5" i="1"/>
  <c r="S6" i="1" s="1"/>
  <c r="K8" i="1"/>
  <c r="M7" i="1"/>
  <c r="T7" i="1" s="1"/>
  <c r="Q7" i="1"/>
  <c r="R7" i="1" s="1"/>
  <c r="O7" i="1"/>
  <c r="V7" i="1" s="1"/>
  <c r="N8" i="1"/>
  <c r="L8" i="1"/>
  <c r="U8" i="1" l="1"/>
  <c r="W7" i="1"/>
  <c r="V6" i="1"/>
  <c r="X7" i="1"/>
  <c r="K9" i="1"/>
  <c r="S7" i="1"/>
  <c r="M8" i="1"/>
  <c r="T8" i="1" s="1"/>
  <c r="Q8" i="1"/>
  <c r="R8" i="1" s="1"/>
  <c r="O8" i="1"/>
  <c r="N9" i="1"/>
  <c r="L9" i="1"/>
  <c r="U9" i="1" l="1"/>
  <c r="Y6" i="1"/>
  <c r="Y7" i="1" s="1"/>
  <c r="W6" i="1"/>
  <c r="V8" i="1"/>
  <c r="X8" i="1"/>
  <c r="K10" i="1"/>
  <c r="S8" i="1"/>
  <c r="M9" i="1"/>
  <c r="T9" i="1" s="1"/>
  <c r="Q9" i="1"/>
  <c r="R9" i="1" s="1"/>
  <c r="O9" i="1"/>
  <c r="N10" i="1"/>
  <c r="L10" i="1"/>
  <c r="U10" i="1" l="1"/>
  <c r="Y8" i="1"/>
  <c r="W8" i="1"/>
  <c r="V9" i="1"/>
  <c r="X9" i="1"/>
  <c r="K11" i="1"/>
  <c r="S9" i="1"/>
  <c r="M10" i="1"/>
  <c r="T10" i="1" s="1"/>
  <c r="Q10" i="1"/>
  <c r="R10" i="1" s="1"/>
  <c r="O10" i="1"/>
  <c r="N11" i="1"/>
  <c r="L11" i="1"/>
  <c r="U11" i="1" l="1"/>
  <c r="Y9" i="1"/>
  <c r="W9" i="1"/>
  <c r="X10" i="1"/>
  <c r="V10" i="1"/>
  <c r="K12" i="1"/>
  <c r="S10" i="1"/>
  <c r="M11" i="1"/>
  <c r="T11" i="1" s="1"/>
  <c r="Q11" i="1"/>
  <c r="R11" i="1" s="1"/>
  <c r="O11" i="1"/>
  <c r="N12" i="1"/>
  <c r="L12" i="1"/>
  <c r="U12" i="1" l="1"/>
  <c r="Y10" i="1"/>
  <c r="W10" i="1"/>
  <c r="X11" i="1"/>
  <c r="V11" i="1"/>
  <c r="K13" i="1"/>
  <c r="S11" i="1"/>
  <c r="M12" i="1"/>
  <c r="T12" i="1" s="1"/>
  <c r="Q12" i="1"/>
  <c r="R12" i="1" s="1"/>
  <c r="O12" i="1"/>
  <c r="N13" i="1"/>
  <c r="L13" i="1"/>
  <c r="U13" i="1" l="1"/>
  <c r="Y11" i="1"/>
  <c r="W11" i="1"/>
  <c r="X12" i="1"/>
  <c r="V12" i="1"/>
  <c r="K14" i="1"/>
  <c r="S12" i="1"/>
  <c r="M13" i="1"/>
  <c r="T13" i="1" s="1"/>
  <c r="Q13" i="1"/>
  <c r="R13" i="1" s="1"/>
  <c r="O13" i="1"/>
  <c r="N14" i="1"/>
  <c r="L14" i="1"/>
  <c r="U14" i="1" l="1"/>
  <c r="Y12" i="1"/>
  <c r="X13" i="1"/>
  <c r="W12" i="1"/>
  <c r="V13" i="1"/>
  <c r="K15" i="1"/>
  <c r="S13" i="1"/>
  <c r="M14" i="1"/>
  <c r="T14" i="1" s="1"/>
  <c r="Q14" i="1"/>
  <c r="R14" i="1" s="1"/>
  <c r="O14" i="1"/>
  <c r="N15" i="1"/>
  <c r="L15" i="1"/>
  <c r="U15" i="1" l="1"/>
  <c r="Y13" i="1"/>
  <c r="X14" i="1"/>
  <c r="W13" i="1"/>
  <c r="V14" i="1"/>
  <c r="K16" i="1"/>
  <c r="S14" i="1"/>
  <c r="M15" i="1"/>
  <c r="T15" i="1" s="1"/>
  <c r="Q15" i="1"/>
  <c r="R15" i="1" s="1"/>
  <c r="O15" i="1"/>
  <c r="N16" i="1"/>
  <c r="L16" i="1"/>
  <c r="U16" i="1" l="1"/>
  <c r="Y14" i="1"/>
  <c r="W14" i="1"/>
  <c r="X15" i="1"/>
  <c r="V15" i="1"/>
  <c r="K17" i="1"/>
  <c r="S15" i="1"/>
  <c r="M16" i="1"/>
  <c r="T16" i="1" s="1"/>
  <c r="Q16" i="1"/>
  <c r="R16" i="1" s="1"/>
  <c r="O16" i="1"/>
  <c r="N17" i="1"/>
  <c r="L17" i="1"/>
  <c r="U17" i="1" l="1"/>
  <c r="Y15" i="1"/>
  <c r="W15" i="1"/>
  <c r="X16" i="1"/>
  <c r="V16" i="1"/>
  <c r="K18" i="1"/>
  <c r="S16" i="1"/>
  <c r="M17" i="1"/>
  <c r="T17" i="1" s="1"/>
  <c r="Q17" i="1"/>
  <c r="R17" i="1" s="1"/>
  <c r="O17" i="1"/>
  <c r="N18" i="1"/>
  <c r="L18" i="1"/>
  <c r="U18" i="1" l="1"/>
  <c r="Y16" i="1"/>
  <c r="X17" i="1"/>
  <c r="W16" i="1"/>
  <c r="V17" i="1"/>
  <c r="K19" i="1"/>
  <c r="S17" i="1"/>
  <c r="M18" i="1"/>
  <c r="T18" i="1" s="1"/>
  <c r="Q18" i="1"/>
  <c r="R18" i="1" s="1"/>
  <c r="O18" i="1"/>
  <c r="N19" i="1"/>
  <c r="L19" i="1"/>
  <c r="U19" i="1" l="1"/>
  <c r="Y17" i="1"/>
  <c r="X18" i="1"/>
  <c r="W17" i="1"/>
  <c r="V18" i="1"/>
  <c r="K20" i="1"/>
  <c r="S18" i="1"/>
  <c r="M19" i="1"/>
  <c r="T19" i="1" s="1"/>
  <c r="Q19" i="1"/>
  <c r="R19" i="1" s="1"/>
  <c r="O19" i="1"/>
  <c r="N20" i="1"/>
  <c r="L20" i="1"/>
  <c r="U20" i="1" l="1"/>
  <c r="Y18" i="1"/>
  <c r="X19" i="1"/>
  <c r="W18" i="1"/>
  <c r="V19" i="1"/>
  <c r="K21" i="1"/>
  <c r="S19" i="1"/>
  <c r="M20" i="1"/>
  <c r="T20" i="1" s="1"/>
  <c r="Q20" i="1"/>
  <c r="R20" i="1" s="1"/>
  <c r="O20" i="1"/>
  <c r="N21" i="1"/>
  <c r="L21" i="1"/>
  <c r="U21" i="1" l="1"/>
  <c r="Y19" i="1"/>
  <c r="X20" i="1"/>
  <c r="W19" i="1"/>
  <c r="V20" i="1"/>
  <c r="K22" i="1"/>
  <c r="S20" i="1"/>
  <c r="M21" i="1"/>
  <c r="T21" i="1" s="1"/>
  <c r="Q21" i="1"/>
  <c r="R21" i="1" s="1"/>
  <c r="O21" i="1"/>
  <c r="N22" i="1"/>
  <c r="L22" i="1"/>
  <c r="U22" i="1" l="1"/>
  <c r="Y20" i="1"/>
  <c r="X21" i="1"/>
  <c r="W20" i="1"/>
  <c r="V21" i="1"/>
  <c r="K23" i="1"/>
  <c r="S21" i="1"/>
  <c r="M22" i="1"/>
  <c r="T22" i="1" s="1"/>
  <c r="Q22" i="1"/>
  <c r="R22" i="1" s="1"/>
  <c r="O22" i="1"/>
  <c r="N23" i="1"/>
  <c r="L23" i="1"/>
  <c r="U23" i="1" l="1"/>
  <c r="Y21" i="1"/>
  <c r="X22" i="1"/>
  <c r="W21" i="1"/>
  <c r="V22" i="1"/>
  <c r="S22" i="1"/>
  <c r="K24" i="1"/>
  <c r="M23" i="1"/>
  <c r="T23" i="1" s="1"/>
  <c r="Q23" i="1"/>
  <c r="R23" i="1" s="1"/>
  <c r="O23" i="1"/>
  <c r="N24" i="1"/>
  <c r="L24" i="1"/>
  <c r="U24" i="1" l="1"/>
  <c r="Y22" i="1"/>
  <c r="X23" i="1"/>
  <c r="W22" i="1"/>
  <c r="V23" i="1"/>
  <c r="S23" i="1"/>
  <c r="K25" i="1"/>
  <c r="M24" i="1"/>
  <c r="T24" i="1" s="1"/>
  <c r="Q24" i="1"/>
  <c r="R24" i="1" s="1"/>
  <c r="O24" i="1"/>
  <c r="N25" i="1"/>
  <c r="L25" i="1"/>
  <c r="U25" i="1" l="1"/>
  <c r="Y23" i="1"/>
  <c r="X24" i="1"/>
  <c r="W23" i="1"/>
  <c r="V24" i="1"/>
  <c r="S24" i="1"/>
  <c r="K26" i="1"/>
  <c r="M25" i="1"/>
  <c r="T25" i="1" s="1"/>
  <c r="Q25" i="1"/>
  <c r="R25" i="1" s="1"/>
  <c r="O25" i="1"/>
  <c r="N26" i="1"/>
  <c r="L26" i="1"/>
  <c r="Y24" i="1" l="1"/>
  <c r="U26" i="1"/>
  <c r="X25" i="1"/>
  <c r="W24" i="1"/>
  <c r="S25" i="1"/>
  <c r="V25" i="1"/>
  <c r="K27" i="1"/>
  <c r="M26" i="1"/>
  <c r="T26" i="1" s="1"/>
  <c r="Q26" i="1"/>
  <c r="O26" i="1"/>
  <c r="N27" i="1"/>
  <c r="L27" i="1"/>
  <c r="Y25" i="1" l="1"/>
  <c r="U27" i="1"/>
  <c r="X26" i="1"/>
  <c r="W25" i="1"/>
  <c r="R26" i="1"/>
  <c r="S26" i="1" s="1"/>
  <c r="V26" i="1"/>
  <c r="K28" i="1"/>
  <c r="M27" i="1"/>
  <c r="T27" i="1" s="1"/>
  <c r="Q27" i="1"/>
  <c r="O27" i="1"/>
  <c r="N28" i="1"/>
  <c r="L28" i="1"/>
  <c r="Y26" i="1" l="1"/>
  <c r="U28" i="1"/>
  <c r="X27" i="1"/>
  <c r="W26" i="1"/>
  <c r="R27" i="1"/>
  <c r="S27" i="1" s="1"/>
  <c r="V27" i="1"/>
  <c r="K29" i="1"/>
  <c r="M28" i="1"/>
  <c r="T28" i="1" s="1"/>
  <c r="Q28" i="1"/>
  <c r="O28" i="1"/>
  <c r="N29" i="1"/>
  <c r="L29" i="1"/>
  <c r="Y27" i="1" l="1"/>
  <c r="U29" i="1"/>
  <c r="W27" i="1"/>
  <c r="X28" i="1"/>
  <c r="R28" i="1"/>
  <c r="S28" i="1" s="1"/>
  <c r="V28" i="1"/>
  <c r="K30" i="1"/>
  <c r="M29" i="1"/>
  <c r="T29" i="1" s="1"/>
  <c r="Q29" i="1"/>
  <c r="O29" i="1"/>
  <c r="N30" i="1"/>
  <c r="L30" i="1"/>
  <c r="Y28" i="1" l="1"/>
  <c r="U30" i="1"/>
  <c r="X29" i="1"/>
  <c r="W28" i="1"/>
  <c r="R29" i="1"/>
  <c r="S29" i="1" s="1"/>
  <c r="V29" i="1"/>
  <c r="Y29" i="1" s="1"/>
  <c r="K31" i="1"/>
  <c r="M30" i="1"/>
  <c r="T30" i="1" s="1"/>
  <c r="Q30" i="1"/>
  <c r="O30" i="1"/>
  <c r="N31" i="1"/>
  <c r="L31" i="1"/>
  <c r="U31" i="1" l="1"/>
  <c r="X30" i="1"/>
  <c r="W29" i="1"/>
  <c r="R30" i="1"/>
  <c r="S30" i="1" s="1"/>
  <c r="V30" i="1"/>
  <c r="Y30" i="1" s="1"/>
  <c r="K32" i="1"/>
  <c r="M31" i="1"/>
  <c r="T31" i="1" s="1"/>
  <c r="Q31" i="1"/>
  <c r="O31" i="1"/>
  <c r="N32" i="1"/>
  <c r="L32" i="1"/>
  <c r="U32" i="1" l="1"/>
  <c r="X31" i="1"/>
  <c r="W30" i="1"/>
  <c r="R31" i="1"/>
  <c r="S31" i="1" s="1"/>
  <c r="V31" i="1"/>
  <c r="Y31" i="1" s="1"/>
  <c r="K33" i="1"/>
  <c r="M32" i="1"/>
  <c r="T32" i="1" s="1"/>
  <c r="Q32" i="1"/>
  <c r="O32" i="1"/>
  <c r="N33" i="1"/>
  <c r="L33" i="1"/>
  <c r="U33" i="1" l="1"/>
  <c r="W31" i="1"/>
  <c r="X32" i="1"/>
  <c r="R32" i="1"/>
  <c r="S32" i="1" s="1"/>
  <c r="V32" i="1"/>
  <c r="Y32" i="1" s="1"/>
  <c r="K34" i="1"/>
  <c r="M33" i="1"/>
  <c r="T33" i="1" s="1"/>
  <c r="Q33" i="1"/>
  <c r="O33" i="1"/>
  <c r="N34" i="1"/>
  <c r="L34" i="1"/>
  <c r="U34" i="1" l="1"/>
  <c r="X33" i="1"/>
  <c r="W32" i="1"/>
  <c r="R33" i="1"/>
  <c r="S33" i="1" s="1"/>
  <c r="V33" i="1"/>
  <c r="Y33" i="1" s="1"/>
  <c r="K35" i="1"/>
  <c r="M34" i="1"/>
  <c r="T34" i="1" s="1"/>
  <c r="Q34" i="1"/>
  <c r="O34" i="1"/>
  <c r="N35" i="1"/>
  <c r="L35" i="1"/>
  <c r="U35" i="1" l="1"/>
  <c r="W33" i="1"/>
  <c r="X34" i="1"/>
  <c r="R34" i="1"/>
  <c r="S34" i="1" s="1"/>
  <c r="V34" i="1"/>
  <c r="Y34" i="1" s="1"/>
  <c r="K36" i="1"/>
  <c r="M35" i="1"/>
  <c r="T35" i="1" s="1"/>
  <c r="Q35" i="1"/>
  <c r="O35" i="1"/>
  <c r="N36" i="1"/>
  <c r="L36" i="1"/>
  <c r="U36" i="1" l="1"/>
  <c r="X35" i="1"/>
  <c r="W34" i="1"/>
  <c r="R35" i="1"/>
  <c r="S35" i="1" s="1"/>
  <c r="V35" i="1"/>
  <c r="Y35" i="1" s="1"/>
  <c r="K37" i="1"/>
  <c r="M36" i="1"/>
  <c r="T36" i="1" s="1"/>
  <c r="Q36" i="1"/>
  <c r="O36" i="1"/>
  <c r="N37" i="1"/>
  <c r="L37" i="1"/>
  <c r="U37" i="1" l="1"/>
  <c r="X36" i="1"/>
  <c r="W35" i="1"/>
  <c r="R36" i="1"/>
  <c r="S36" i="1" s="1"/>
  <c r="V36" i="1"/>
  <c r="Y36" i="1" s="1"/>
  <c r="K38" i="1"/>
  <c r="M37" i="1"/>
  <c r="T37" i="1" s="1"/>
  <c r="Q37" i="1"/>
  <c r="O37" i="1"/>
  <c r="N38" i="1"/>
  <c r="L38" i="1"/>
  <c r="U38" i="1" l="1"/>
  <c r="X37" i="1"/>
  <c r="W36" i="1"/>
  <c r="R37" i="1"/>
  <c r="S37" i="1" s="1"/>
  <c r="V37" i="1"/>
  <c r="Y37" i="1" s="1"/>
  <c r="K39" i="1"/>
  <c r="M38" i="1"/>
  <c r="T38" i="1" s="1"/>
  <c r="Q38" i="1"/>
  <c r="O38" i="1"/>
  <c r="N39" i="1"/>
  <c r="L39" i="1"/>
  <c r="U39" i="1" l="1"/>
  <c r="X38" i="1"/>
  <c r="W37" i="1"/>
  <c r="R38" i="1"/>
  <c r="S38" i="1" s="1"/>
  <c r="V38" i="1"/>
  <c r="Y38" i="1" s="1"/>
  <c r="K40" i="1"/>
  <c r="M39" i="1"/>
  <c r="T39" i="1" s="1"/>
  <c r="Q39" i="1"/>
  <c r="O39" i="1"/>
  <c r="N40" i="1"/>
  <c r="L40" i="1"/>
  <c r="U40" i="1" l="1"/>
  <c r="X39" i="1"/>
  <c r="W38" i="1"/>
  <c r="R39" i="1"/>
  <c r="S39" i="1" s="1"/>
  <c r="V39" i="1"/>
  <c r="Y39" i="1" s="1"/>
  <c r="K41" i="1"/>
  <c r="M40" i="1"/>
  <c r="T40" i="1" s="1"/>
  <c r="Q40" i="1"/>
  <c r="O40" i="1"/>
  <c r="N41" i="1"/>
  <c r="L41" i="1"/>
  <c r="U41" i="1" l="1"/>
  <c r="X40" i="1"/>
  <c r="W39" i="1"/>
  <c r="R40" i="1"/>
  <c r="S40" i="1" s="1"/>
  <c r="V40" i="1"/>
  <c r="Y40" i="1" s="1"/>
  <c r="K42" i="1"/>
  <c r="M41" i="1"/>
  <c r="T41" i="1" s="1"/>
  <c r="Q41" i="1"/>
  <c r="O41" i="1"/>
  <c r="N42" i="1"/>
  <c r="L42" i="1"/>
  <c r="U42" i="1" l="1"/>
  <c r="X41" i="1"/>
  <c r="W40" i="1"/>
  <c r="R41" i="1"/>
  <c r="S41" i="1" s="1"/>
  <c r="V41" i="1"/>
  <c r="Y41" i="1" s="1"/>
  <c r="K43" i="1"/>
  <c r="M42" i="1"/>
  <c r="T42" i="1" s="1"/>
  <c r="Q42" i="1"/>
  <c r="O42" i="1"/>
  <c r="N43" i="1"/>
  <c r="L43" i="1"/>
  <c r="U43" i="1" l="1"/>
  <c r="X42" i="1"/>
  <c r="W41" i="1"/>
  <c r="R42" i="1"/>
  <c r="S42" i="1" s="1"/>
  <c r="V42" i="1"/>
  <c r="Y42" i="1" s="1"/>
  <c r="K44" i="1"/>
  <c r="M43" i="1"/>
  <c r="T43" i="1" s="1"/>
  <c r="Q43" i="1"/>
  <c r="O43" i="1"/>
  <c r="N44" i="1"/>
  <c r="L44" i="1"/>
  <c r="U44" i="1" l="1"/>
  <c r="W42" i="1"/>
  <c r="X43" i="1"/>
  <c r="R43" i="1"/>
  <c r="S43" i="1" s="1"/>
  <c r="V43" i="1"/>
  <c r="Y43" i="1" s="1"/>
  <c r="K45" i="1"/>
  <c r="M44" i="1"/>
  <c r="T44" i="1" s="1"/>
  <c r="Q44" i="1"/>
  <c r="O44" i="1"/>
  <c r="N45" i="1"/>
  <c r="L45" i="1"/>
  <c r="U45" i="1" l="1"/>
  <c r="W43" i="1"/>
  <c r="X44" i="1"/>
  <c r="R44" i="1"/>
  <c r="S44" i="1" s="1"/>
  <c r="V44" i="1"/>
  <c r="Y44" i="1" s="1"/>
  <c r="K46" i="1"/>
  <c r="M45" i="1"/>
  <c r="T45" i="1" s="1"/>
  <c r="Q45" i="1"/>
  <c r="O45" i="1"/>
  <c r="N46" i="1"/>
  <c r="L46" i="1"/>
  <c r="U46" i="1" l="1"/>
  <c r="X45" i="1"/>
  <c r="W44" i="1"/>
  <c r="R45" i="1"/>
  <c r="S45" i="1" s="1"/>
  <c r="V45" i="1"/>
  <c r="Y45" i="1" s="1"/>
  <c r="K47" i="1"/>
  <c r="M46" i="1"/>
  <c r="T46" i="1" s="1"/>
  <c r="Q46" i="1"/>
  <c r="O46" i="1"/>
  <c r="N47" i="1"/>
  <c r="L47" i="1"/>
  <c r="U47" i="1" l="1"/>
  <c r="X46" i="1"/>
  <c r="W45" i="1"/>
  <c r="R46" i="1"/>
  <c r="S46" i="1" s="1"/>
  <c r="V46" i="1"/>
  <c r="Y46" i="1" s="1"/>
  <c r="K48" i="1"/>
  <c r="M47" i="1"/>
  <c r="T47" i="1" s="1"/>
  <c r="Q47" i="1"/>
  <c r="O47" i="1"/>
  <c r="N48" i="1"/>
  <c r="L48" i="1"/>
  <c r="U48" i="1" l="1"/>
  <c r="W46" i="1"/>
  <c r="X47" i="1"/>
  <c r="R47" i="1"/>
  <c r="S47" i="1" s="1"/>
  <c r="V47" i="1"/>
  <c r="Y47" i="1" s="1"/>
  <c r="K49" i="1"/>
  <c r="M48" i="1"/>
  <c r="T48" i="1" s="1"/>
  <c r="Q48" i="1"/>
  <c r="O48" i="1"/>
  <c r="N49" i="1"/>
  <c r="L49" i="1"/>
  <c r="U49" i="1" l="1"/>
  <c r="X48" i="1"/>
  <c r="W47" i="1"/>
  <c r="R48" i="1"/>
  <c r="S48" i="1" s="1"/>
  <c r="V48" i="1"/>
  <c r="Y48" i="1" s="1"/>
  <c r="K50" i="1"/>
  <c r="M49" i="1"/>
  <c r="T49" i="1" s="1"/>
  <c r="Q49" i="1"/>
  <c r="O49" i="1"/>
  <c r="N50" i="1"/>
  <c r="L50" i="1"/>
  <c r="U50" i="1" l="1"/>
  <c r="X49" i="1"/>
  <c r="W48" i="1"/>
  <c r="R49" i="1"/>
  <c r="S49" i="1" s="1"/>
  <c r="V49" i="1"/>
  <c r="Y49" i="1" s="1"/>
  <c r="K51" i="1"/>
  <c r="M50" i="1"/>
  <c r="T50" i="1" s="1"/>
  <c r="Q50" i="1"/>
  <c r="O50" i="1"/>
  <c r="N51" i="1"/>
  <c r="L51" i="1"/>
  <c r="U51" i="1" l="1"/>
  <c r="W49" i="1"/>
  <c r="X50" i="1"/>
  <c r="R50" i="1"/>
  <c r="S50" i="1" s="1"/>
  <c r="V50" i="1"/>
  <c r="Y50" i="1" s="1"/>
  <c r="K52" i="1"/>
  <c r="M51" i="1"/>
  <c r="T51" i="1" s="1"/>
  <c r="Q51" i="1"/>
  <c r="O51" i="1"/>
  <c r="N52" i="1"/>
  <c r="L52" i="1"/>
  <c r="U52" i="1" l="1"/>
  <c r="W50" i="1"/>
  <c r="X51" i="1"/>
  <c r="R51" i="1"/>
  <c r="S51" i="1" s="1"/>
  <c r="V51" i="1"/>
  <c r="Y51" i="1" s="1"/>
  <c r="K53" i="1"/>
  <c r="M52" i="1"/>
  <c r="T52" i="1" s="1"/>
  <c r="Q52" i="1"/>
  <c r="O52" i="1"/>
  <c r="N53" i="1"/>
  <c r="L53" i="1"/>
  <c r="U53" i="1" l="1"/>
  <c r="X52" i="1"/>
  <c r="W51" i="1"/>
  <c r="R52" i="1"/>
  <c r="S52" i="1" s="1"/>
  <c r="V52" i="1"/>
  <c r="Y52" i="1" s="1"/>
  <c r="K54" i="1"/>
  <c r="M53" i="1"/>
  <c r="T53" i="1" s="1"/>
  <c r="Q53" i="1"/>
  <c r="O53" i="1"/>
  <c r="N54" i="1"/>
  <c r="L54" i="1"/>
  <c r="U54" i="1" l="1"/>
  <c r="W52" i="1"/>
  <c r="X53" i="1"/>
  <c r="R53" i="1"/>
  <c r="S53" i="1" s="1"/>
  <c r="V53" i="1"/>
  <c r="Y53" i="1" s="1"/>
  <c r="K55" i="1"/>
  <c r="M54" i="1"/>
  <c r="T54" i="1" s="1"/>
  <c r="Q54" i="1"/>
  <c r="O54" i="1"/>
  <c r="N55" i="1"/>
  <c r="L55" i="1"/>
  <c r="U55" i="1" l="1"/>
  <c r="W53" i="1"/>
  <c r="X54" i="1"/>
  <c r="R54" i="1"/>
  <c r="S54" i="1" s="1"/>
  <c r="V54" i="1"/>
  <c r="Y54" i="1" s="1"/>
  <c r="K56" i="1"/>
  <c r="M55" i="1"/>
  <c r="T55" i="1" s="1"/>
  <c r="Q55" i="1"/>
  <c r="O55" i="1"/>
  <c r="N56" i="1"/>
  <c r="L56" i="1"/>
  <c r="U56" i="1" l="1"/>
  <c r="W54" i="1"/>
  <c r="X55" i="1"/>
  <c r="R55" i="1"/>
  <c r="S55" i="1" s="1"/>
  <c r="V55" i="1"/>
  <c r="Y55" i="1" s="1"/>
  <c r="K57" i="1"/>
  <c r="M56" i="1"/>
  <c r="T56" i="1" s="1"/>
  <c r="Q56" i="1"/>
  <c r="O56" i="1"/>
  <c r="N57" i="1"/>
  <c r="L57" i="1"/>
  <c r="U57" i="1" l="1"/>
  <c r="X56" i="1"/>
  <c r="W55" i="1"/>
  <c r="R56" i="1"/>
  <c r="S56" i="1" s="1"/>
  <c r="V56" i="1"/>
  <c r="Y56" i="1" s="1"/>
  <c r="K58" i="1"/>
  <c r="M57" i="1"/>
  <c r="T57" i="1" s="1"/>
  <c r="Q57" i="1"/>
  <c r="O57" i="1"/>
  <c r="N58" i="1"/>
  <c r="L58" i="1"/>
  <c r="U58" i="1" l="1"/>
  <c r="X57" i="1"/>
  <c r="W56" i="1"/>
  <c r="R57" i="1"/>
  <c r="S57" i="1" s="1"/>
  <c r="V57" i="1"/>
  <c r="Y57" i="1" s="1"/>
  <c r="K59" i="1"/>
  <c r="M58" i="1"/>
  <c r="T58" i="1" s="1"/>
  <c r="Q58" i="1"/>
  <c r="O58" i="1"/>
  <c r="N59" i="1"/>
  <c r="L59" i="1"/>
  <c r="U59" i="1" l="1"/>
  <c r="X58" i="1"/>
  <c r="W57" i="1"/>
  <c r="R58" i="1"/>
  <c r="S58" i="1" s="1"/>
  <c r="V58" i="1"/>
  <c r="Y58" i="1" s="1"/>
  <c r="K60" i="1"/>
  <c r="M59" i="1"/>
  <c r="T59" i="1" s="1"/>
  <c r="Q59" i="1"/>
  <c r="O59" i="1"/>
  <c r="N60" i="1"/>
  <c r="L60" i="1"/>
  <c r="U60" i="1" l="1"/>
  <c r="W58" i="1"/>
  <c r="X59" i="1"/>
  <c r="R59" i="1"/>
  <c r="S59" i="1" s="1"/>
  <c r="V59" i="1"/>
  <c r="Y59" i="1" s="1"/>
  <c r="K61" i="1"/>
  <c r="M60" i="1"/>
  <c r="T60" i="1" s="1"/>
  <c r="Q60" i="1"/>
  <c r="O60" i="1"/>
  <c r="N61" i="1"/>
  <c r="L61" i="1"/>
  <c r="U61" i="1" l="1"/>
  <c r="X60" i="1"/>
  <c r="W59" i="1"/>
  <c r="R60" i="1"/>
  <c r="S60" i="1" s="1"/>
  <c r="V60" i="1"/>
  <c r="Y60" i="1" s="1"/>
  <c r="K62" i="1"/>
  <c r="M61" i="1"/>
  <c r="T61" i="1" s="1"/>
  <c r="Q61" i="1"/>
  <c r="O61" i="1"/>
  <c r="N62" i="1"/>
  <c r="L62" i="1"/>
  <c r="U62" i="1" l="1"/>
  <c r="X61" i="1"/>
  <c r="W60" i="1"/>
  <c r="R61" i="1"/>
  <c r="S61" i="1" s="1"/>
  <c r="V61" i="1"/>
  <c r="Y61" i="1" s="1"/>
  <c r="K63" i="1"/>
  <c r="M62" i="1"/>
  <c r="T62" i="1" s="1"/>
  <c r="Q62" i="1"/>
  <c r="O62" i="1"/>
  <c r="N63" i="1"/>
  <c r="L63" i="1"/>
  <c r="U63" i="1" l="1"/>
  <c r="X62" i="1"/>
  <c r="W61" i="1"/>
  <c r="R62" i="1"/>
  <c r="S62" i="1" s="1"/>
  <c r="V62" i="1"/>
  <c r="Y62" i="1" s="1"/>
  <c r="K64" i="1"/>
  <c r="M63" i="1"/>
  <c r="T63" i="1" s="1"/>
  <c r="Q63" i="1"/>
  <c r="O63" i="1"/>
  <c r="N64" i="1"/>
  <c r="L64" i="1"/>
  <c r="U64" i="1" l="1"/>
  <c r="W62" i="1"/>
  <c r="X63" i="1"/>
  <c r="R63" i="1"/>
  <c r="S63" i="1" s="1"/>
  <c r="V63" i="1"/>
  <c r="Y63" i="1" s="1"/>
  <c r="K65" i="1"/>
  <c r="M64" i="1"/>
  <c r="T64" i="1" s="1"/>
  <c r="Q64" i="1"/>
  <c r="O64" i="1"/>
  <c r="N65" i="1"/>
  <c r="L65" i="1"/>
  <c r="U65" i="1" l="1"/>
  <c r="X64" i="1"/>
  <c r="W63" i="1"/>
  <c r="R64" i="1"/>
  <c r="S64" i="1" s="1"/>
  <c r="V64" i="1"/>
  <c r="Y64" i="1" s="1"/>
  <c r="K66" i="1"/>
  <c r="M65" i="1"/>
  <c r="T65" i="1" s="1"/>
  <c r="Q65" i="1"/>
  <c r="O65" i="1"/>
  <c r="N66" i="1"/>
  <c r="L66" i="1"/>
  <c r="U66" i="1" l="1"/>
  <c r="X65" i="1"/>
  <c r="W64" i="1"/>
  <c r="R65" i="1"/>
  <c r="S65" i="1" s="1"/>
  <c r="V65" i="1"/>
  <c r="Y65" i="1" s="1"/>
  <c r="K67" i="1"/>
  <c r="M66" i="1"/>
  <c r="T66" i="1" s="1"/>
  <c r="Q66" i="1"/>
  <c r="O66" i="1"/>
  <c r="N67" i="1"/>
  <c r="L67" i="1"/>
  <c r="U67" i="1" l="1"/>
  <c r="X66" i="1"/>
  <c r="W65" i="1"/>
  <c r="R66" i="1"/>
  <c r="S66" i="1" s="1"/>
  <c r="V66" i="1"/>
  <c r="Y66" i="1" s="1"/>
  <c r="K68" i="1"/>
  <c r="M67" i="1"/>
  <c r="T67" i="1" s="1"/>
  <c r="Q67" i="1"/>
  <c r="O67" i="1"/>
  <c r="N68" i="1"/>
  <c r="L68" i="1"/>
  <c r="U68" i="1" l="1"/>
  <c r="W66" i="1"/>
  <c r="X67" i="1"/>
  <c r="R67" i="1"/>
  <c r="S67" i="1" s="1"/>
  <c r="V67" i="1"/>
  <c r="Y67" i="1" s="1"/>
  <c r="K69" i="1"/>
  <c r="M68" i="1"/>
  <c r="T68" i="1" s="1"/>
  <c r="Q68" i="1"/>
  <c r="O68" i="1"/>
  <c r="N69" i="1"/>
  <c r="L69" i="1"/>
  <c r="U69" i="1" l="1"/>
  <c r="X68" i="1"/>
  <c r="W67" i="1"/>
  <c r="R68" i="1"/>
  <c r="S68" i="1" s="1"/>
  <c r="V68" i="1"/>
  <c r="Y68" i="1" s="1"/>
  <c r="K70" i="1"/>
  <c r="M69" i="1"/>
  <c r="T69" i="1" s="1"/>
  <c r="Q69" i="1"/>
  <c r="O69" i="1"/>
  <c r="N70" i="1"/>
  <c r="L70" i="1"/>
  <c r="U70" i="1" l="1"/>
  <c r="X69" i="1"/>
  <c r="W68" i="1"/>
  <c r="R69" i="1"/>
  <c r="S69" i="1" s="1"/>
  <c r="V69" i="1"/>
  <c r="Y69" i="1" s="1"/>
  <c r="K71" i="1"/>
  <c r="M70" i="1"/>
  <c r="T70" i="1" s="1"/>
  <c r="Q70" i="1"/>
  <c r="O70" i="1"/>
  <c r="N71" i="1"/>
  <c r="L71" i="1"/>
  <c r="U71" i="1" l="1"/>
  <c r="X70" i="1"/>
  <c r="W69" i="1"/>
  <c r="R70" i="1"/>
  <c r="S70" i="1" s="1"/>
  <c r="V70" i="1"/>
  <c r="Y70" i="1" s="1"/>
  <c r="K72" i="1"/>
  <c r="M71" i="1"/>
  <c r="T71" i="1" s="1"/>
  <c r="Q71" i="1"/>
  <c r="O71" i="1"/>
  <c r="N72" i="1"/>
  <c r="L72" i="1"/>
  <c r="U72" i="1" l="1"/>
  <c r="X71" i="1"/>
  <c r="W70" i="1"/>
  <c r="R71" i="1"/>
  <c r="S71" i="1" s="1"/>
  <c r="V71" i="1"/>
  <c r="Y71" i="1" s="1"/>
  <c r="K73" i="1"/>
  <c r="M72" i="1"/>
  <c r="T72" i="1" s="1"/>
  <c r="Q72" i="1"/>
  <c r="O72" i="1"/>
  <c r="N73" i="1"/>
  <c r="L73" i="1"/>
  <c r="U73" i="1" l="1"/>
  <c r="W71" i="1"/>
  <c r="X72" i="1"/>
  <c r="R72" i="1"/>
  <c r="S72" i="1" s="1"/>
  <c r="V72" i="1"/>
  <c r="Y72" i="1" s="1"/>
  <c r="K74" i="1"/>
  <c r="M73" i="1"/>
  <c r="T73" i="1" s="1"/>
  <c r="Q73" i="1"/>
  <c r="O73" i="1"/>
  <c r="N74" i="1"/>
  <c r="L74" i="1"/>
  <c r="U74" i="1" l="1"/>
  <c r="X73" i="1"/>
  <c r="W72" i="1"/>
  <c r="R73" i="1"/>
  <c r="S73" i="1" s="1"/>
  <c r="V73" i="1"/>
  <c r="Y73" i="1" s="1"/>
  <c r="K75" i="1"/>
  <c r="M74" i="1"/>
  <c r="T74" i="1" s="1"/>
  <c r="Q74" i="1"/>
  <c r="O74" i="1"/>
  <c r="N75" i="1"/>
  <c r="L75" i="1"/>
  <c r="U75" i="1" l="1"/>
  <c r="W73" i="1"/>
  <c r="X74" i="1"/>
  <c r="R74" i="1"/>
  <c r="S74" i="1" s="1"/>
  <c r="V74" i="1"/>
  <c r="Y74" i="1" s="1"/>
  <c r="K76" i="1"/>
  <c r="M75" i="1"/>
  <c r="T75" i="1" s="1"/>
  <c r="Q75" i="1"/>
  <c r="O75" i="1"/>
  <c r="N76" i="1"/>
  <c r="L76" i="1"/>
  <c r="U76" i="1" l="1"/>
  <c r="X75" i="1"/>
  <c r="W74" i="1"/>
  <c r="R75" i="1"/>
  <c r="S75" i="1" s="1"/>
  <c r="V75" i="1"/>
  <c r="Y75" i="1" s="1"/>
  <c r="K77" i="1"/>
  <c r="M76" i="1"/>
  <c r="T76" i="1" s="1"/>
  <c r="Q76" i="1"/>
  <c r="O76" i="1"/>
  <c r="N77" i="1"/>
  <c r="L77" i="1"/>
  <c r="U77" i="1" l="1"/>
  <c r="W75" i="1"/>
  <c r="X76" i="1"/>
  <c r="R76" i="1"/>
  <c r="S76" i="1" s="1"/>
  <c r="V76" i="1"/>
  <c r="Y76" i="1" s="1"/>
  <c r="K78" i="1"/>
  <c r="M77" i="1"/>
  <c r="T77" i="1" s="1"/>
  <c r="Q77" i="1"/>
  <c r="O77" i="1"/>
  <c r="N78" i="1"/>
  <c r="L78" i="1"/>
  <c r="U78" i="1" l="1"/>
  <c r="X77" i="1"/>
  <c r="W76" i="1"/>
  <c r="R77" i="1"/>
  <c r="S77" i="1" s="1"/>
  <c r="V77" i="1"/>
  <c r="Y77" i="1" s="1"/>
  <c r="K79" i="1"/>
  <c r="M78" i="1"/>
  <c r="T78" i="1" s="1"/>
  <c r="Q78" i="1"/>
  <c r="O78" i="1"/>
  <c r="N79" i="1"/>
  <c r="L79" i="1"/>
  <c r="U79" i="1" l="1"/>
  <c r="X78" i="1"/>
  <c r="W77" i="1"/>
  <c r="R78" i="1"/>
  <c r="S78" i="1" s="1"/>
  <c r="V78" i="1"/>
  <c r="Y78" i="1" s="1"/>
  <c r="K80" i="1"/>
  <c r="M79" i="1"/>
  <c r="T79" i="1" s="1"/>
  <c r="Q79" i="1"/>
  <c r="O79" i="1"/>
  <c r="N80" i="1"/>
  <c r="L80" i="1"/>
  <c r="U80" i="1" l="1"/>
  <c r="X79" i="1"/>
  <c r="W78" i="1"/>
  <c r="R79" i="1"/>
  <c r="S79" i="1" s="1"/>
  <c r="V79" i="1"/>
  <c r="Y79" i="1" s="1"/>
  <c r="K81" i="1"/>
  <c r="M80" i="1"/>
  <c r="T80" i="1" s="1"/>
  <c r="Q80" i="1"/>
  <c r="O80" i="1"/>
  <c r="N81" i="1"/>
  <c r="L81" i="1"/>
  <c r="U81" i="1" l="1"/>
  <c r="W79" i="1"/>
  <c r="X80" i="1"/>
  <c r="R80" i="1"/>
  <c r="S80" i="1" s="1"/>
  <c r="V80" i="1"/>
  <c r="Y80" i="1" s="1"/>
  <c r="K82" i="1"/>
  <c r="M81" i="1"/>
  <c r="T81" i="1" s="1"/>
  <c r="Q81" i="1"/>
  <c r="O81" i="1"/>
  <c r="N82" i="1"/>
  <c r="L82" i="1"/>
  <c r="U82" i="1" l="1"/>
  <c r="X81" i="1"/>
  <c r="W80" i="1"/>
  <c r="R81" i="1"/>
  <c r="S81" i="1" s="1"/>
  <c r="V81" i="1"/>
  <c r="Y81" i="1" s="1"/>
  <c r="K83" i="1"/>
  <c r="M82" i="1"/>
  <c r="T82" i="1" s="1"/>
  <c r="Q82" i="1"/>
  <c r="O82" i="1"/>
  <c r="N83" i="1"/>
  <c r="L83" i="1"/>
  <c r="U83" i="1" l="1"/>
  <c r="X82" i="1"/>
  <c r="W81" i="1"/>
  <c r="R82" i="1"/>
  <c r="S82" i="1" s="1"/>
  <c r="V82" i="1"/>
  <c r="Y82" i="1" s="1"/>
  <c r="K84" i="1"/>
  <c r="M83" i="1"/>
  <c r="T83" i="1" s="1"/>
  <c r="Q83" i="1"/>
  <c r="O83" i="1"/>
  <c r="N84" i="1"/>
  <c r="L84" i="1"/>
  <c r="U84" i="1" l="1"/>
  <c r="W82" i="1"/>
  <c r="X83" i="1"/>
  <c r="R83" i="1"/>
  <c r="S83" i="1" s="1"/>
  <c r="V83" i="1"/>
  <c r="Y83" i="1" s="1"/>
  <c r="K85" i="1"/>
  <c r="M84" i="1"/>
  <c r="T84" i="1" s="1"/>
  <c r="Q84" i="1"/>
  <c r="O84" i="1"/>
  <c r="N85" i="1"/>
  <c r="L85" i="1"/>
  <c r="U85" i="1" l="1"/>
  <c r="W83" i="1"/>
  <c r="X84" i="1"/>
  <c r="R84" i="1"/>
  <c r="S84" i="1" s="1"/>
  <c r="V84" i="1"/>
  <c r="Y84" i="1" s="1"/>
  <c r="K86" i="1"/>
  <c r="M85" i="1"/>
  <c r="T85" i="1" s="1"/>
  <c r="Q85" i="1"/>
  <c r="O85" i="1"/>
  <c r="N86" i="1"/>
  <c r="L86" i="1"/>
  <c r="U86" i="1" l="1"/>
  <c r="X85" i="1"/>
  <c r="W84" i="1"/>
  <c r="R85" i="1"/>
  <c r="S85" i="1" s="1"/>
  <c r="V85" i="1"/>
  <c r="Y85" i="1" s="1"/>
  <c r="K87" i="1"/>
  <c r="M86" i="1"/>
  <c r="T86" i="1" s="1"/>
  <c r="Q86" i="1"/>
  <c r="O86" i="1"/>
  <c r="N87" i="1"/>
  <c r="L87" i="1"/>
  <c r="U87" i="1" l="1"/>
  <c r="W85" i="1"/>
  <c r="X86" i="1"/>
  <c r="R86" i="1"/>
  <c r="S86" i="1" s="1"/>
  <c r="V86" i="1"/>
  <c r="Y86" i="1" s="1"/>
  <c r="K88" i="1"/>
  <c r="M87" i="1"/>
  <c r="T87" i="1" s="1"/>
  <c r="Q87" i="1"/>
  <c r="O87" i="1"/>
  <c r="N88" i="1"/>
  <c r="L88" i="1"/>
  <c r="U88" i="1" l="1"/>
  <c r="X87" i="1"/>
  <c r="W86" i="1"/>
  <c r="R87" i="1"/>
  <c r="S87" i="1" s="1"/>
  <c r="V87" i="1"/>
  <c r="Y87" i="1" s="1"/>
  <c r="K89" i="1"/>
  <c r="M88" i="1"/>
  <c r="T88" i="1" s="1"/>
  <c r="Q88" i="1"/>
  <c r="O88" i="1"/>
  <c r="N89" i="1"/>
  <c r="L89" i="1"/>
  <c r="U89" i="1" l="1"/>
  <c r="W87" i="1"/>
  <c r="X88" i="1"/>
  <c r="R88" i="1"/>
  <c r="S88" i="1" s="1"/>
  <c r="V88" i="1"/>
  <c r="Y88" i="1" s="1"/>
  <c r="K90" i="1"/>
  <c r="M89" i="1"/>
  <c r="T89" i="1" s="1"/>
  <c r="Q89" i="1"/>
  <c r="O89" i="1"/>
  <c r="N90" i="1"/>
  <c r="L90" i="1"/>
  <c r="U90" i="1" l="1"/>
  <c r="X89" i="1"/>
  <c r="W88" i="1"/>
  <c r="R89" i="1"/>
  <c r="S89" i="1" s="1"/>
  <c r="V89" i="1"/>
  <c r="Y89" i="1" s="1"/>
  <c r="K91" i="1"/>
  <c r="M90" i="1"/>
  <c r="T90" i="1" s="1"/>
  <c r="Q90" i="1"/>
  <c r="O90" i="1"/>
  <c r="N91" i="1"/>
  <c r="L91" i="1"/>
  <c r="U91" i="1" l="1"/>
  <c r="X90" i="1"/>
  <c r="W89" i="1"/>
  <c r="R90" i="1"/>
  <c r="S90" i="1" s="1"/>
  <c r="V90" i="1"/>
  <c r="Y90" i="1" s="1"/>
  <c r="K92" i="1"/>
  <c r="M91" i="1"/>
  <c r="T91" i="1" s="1"/>
  <c r="Q91" i="1"/>
  <c r="O91" i="1"/>
  <c r="N92" i="1"/>
  <c r="L92" i="1"/>
  <c r="U92" i="1" l="1"/>
  <c r="W90" i="1"/>
  <c r="X91" i="1"/>
  <c r="R91" i="1"/>
  <c r="S91" i="1" s="1"/>
  <c r="V91" i="1"/>
  <c r="Y91" i="1" s="1"/>
  <c r="K93" i="1"/>
  <c r="M92" i="1"/>
  <c r="T92" i="1" s="1"/>
  <c r="Q92" i="1"/>
  <c r="O92" i="1"/>
  <c r="N93" i="1"/>
  <c r="L93" i="1"/>
  <c r="U93" i="1" l="1"/>
  <c r="X92" i="1"/>
  <c r="W91" i="1"/>
  <c r="R92" i="1"/>
  <c r="S92" i="1" s="1"/>
  <c r="V92" i="1"/>
  <c r="Y92" i="1" s="1"/>
  <c r="K94" i="1"/>
  <c r="M93" i="1"/>
  <c r="T93" i="1" s="1"/>
  <c r="Q93" i="1"/>
  <c r="O93" i="1"/>
  <c r="N94" i="1"/>
  <c r="L94" i="1"/>
  <c r="U94" i="1" l="1"/>
  <c r="W92" i="1"/>
  <c r="X93" i="1"/>
  <c r="R93" i="1"/>
  <c r="S93" i="1" s="1"/>
  <c r="V93" i="1"/>
  <c r="Y93" i="1" s="1"/>
  <c r="K95" i="1"/>
  <c r="M94" i="1"/>
  <c r="T94" i="1" s="1"/>
  <c r="Q94" i="1"/>
  <c r="O94" i="1"/>
  <c r="N95" i="1"/>
  <c r="L95" i="1"/>
  <c r="U95" i="1" l="1"/>
  <c r="W93" i="1"/>
  <c r="X94" i="1"/>
  <c r="R94" i="1"/>
  <c r="S94" i="1" s="1"/>
  <c r="V94" i="1"/>
  <c r="Y94" i="1" s="1"/>
  <c r="K96" i="1"/>
  <c r="M95" i="1"/>
  <c r="T95" i="1" s="1"/>
  <c r="Q95" i="1"/>
  <c r="O95" i="1"/>
  <c r="N96" i="1"/>
  <c r="L96" i="1"/>
  <c r="U96" i="1" l="1"/>
  <c r="X95" i="1"/>
  <c r="W94" i="1"/>
  <c r="R95" i="1"/>
  <c r="S95" i="1" s="1"/>
  <c r="V95" i="1"/>
  <c r="Y95" i="1" s="1"/>
  <c r="K97" i="1"/>
  <c r="M96" i="1"/>
  <c r="T96" i="1" s="1"/>
  <c r="Q96" i="1"/>
  <c r="O96" i="1"/>
  <c r="N97" i="1"/>
  <c r="L97" i="1"/>
  <c r="U97" i="1" l="1"/>
  <c r="X96" i="1"/>
  <c r="W95" i="1"/>
  <c r="R96" i="1"/>
  <c r="S96" i="1" s="1"/>
  <c r="V96" i="1"/>
  <c r="Y96" i="1" s="1"/>
  <c r="K98" i="1"/>
  <c r="M97" i="1"/>
  <c r="T97" i="1" s="1"/>
  <c r="Q97" i="1"/>
  <c r="O97" i="1"/>
  <c r="N98" i="1"/>
  <c r="L98" i="1"/>
  <c r="U98" i="1" l="1"/>
  <c r="W96" i="1"/>
  <c r="X97" i="1"/>
  <c r="R97" i="1"/>
  <c r="S97" i="1" s="1"/>
  <c r="V97" i="1"/>
  <c r="Y97" i="1" s="1"/>
  <c r="K99" i="1"/>
  <c r="M98" i="1"/>
  <c r="T98" i="1" s="1"/>
  <c r="Q98" i="1"/>
  <c r="O98" i="1"/>
  <c r="N99" i="1"/>
  <c r="L99" i="1"/>
  <c r="U99" i="1" l="1"/>
  <c r="X98" i="1"/>
  <c r="W97" i="1"/>
  <c r="R98" i="1"/>
  <c r="S98" i="1" s="1"/>
  <c r="V98" i="1"/>
  <c r="Y98" i="1" s="1"/>
  <c r="K100" i="1"/>
  <c r="M99" i="1"/>
  <c r="T99" i="1" s="1"/>
  <c r="Q99" i="1"/>
  <c r="O99" i="1"/>
  <c r="N100" i="1"/>
  <c r="L100" i="1"/>
  <c r="U100" i="1" l="1"/>
  <c r="X99" i="1"/>
  <c r="W98" i="1"/>
  <c r="R99" i="1"/>
  <c r="S99" i="1" s="1"/>
  <c r="V99" i="1"/>
  <c r="Y99" i="1" s="1"/>
  <c r="K101" i="1"/>
  <c r="M100" i="1"/>
  <c r="T100" i="1" s="1"/>
  <c r="Q100" i="1"/>
  <c r="O100" i="1"/>
  <c r="N101" i="1"/>
  <c r="L101" i="1"/>
  <c r="U101" i="1" l="1"/>
  <c r="W99" i="1"/>
  <c r="X100" i="1"/>
  <c r="R100" i="1"/>
  <c r="S100" i="1" s="1"/>
  <c r="V100" i="1"/>
  <c r="Y100" i="1" s="1"/>
  <c r="K102" i="1"/>
  <c r="M101" i="1"/>
  <c r="T101" i="1" s="1"/>
  <c r="Q101" i="1"/>
  <c r="O101" i="1"/>
  <c r="N102" i="1"/>
  <c r="L102" i="1"/>
  <c r="U102" i="1" l="1"/>
  <c r="X101" i="1"/>
  <c r="W100" i="1"/>
  <c r="R101" i="1"/>
  <c r="S101" i="1" s="1"/>
  <c r="V101" i="1"/>
  <c r="Y101" i="1" s="1"/>
  <c r="K103" i="1"/>
  <c r="M102" i="1"/>
  <c r="T102" i="1" s="1"/>
  <c r="Q102" i="1"/>
  <c r="O102" i="1"/>
  <c r="N103" i="1"/>
  <c r="L103" i="1"/>
  <c r="U103" i="1" l="1"/>
  <c r="X102" i="1"/>
  <c r="W101" i="1"/>
  <c r="R102" i="1"/>
  <c r="S102" i="1" s="1"/>
  <c r="V102" i="1"/>
  <c r="Y102" i="1" s="1"/>
  <c r="K104" i="1"/>
  <c r="M103" i="1"/>
  <c r="T103" i="1" s="1"/>
  <c r="Q103" i="1"/>
  <c r="O103" i="1"/>
  <c r="N104" i="1"/>
  <c r="L104" i="1"/>
  <c r="U104" i="1" l="1"/>
  <c r="X103" i="1"/>
  <c r="W102" i="1"/>
  <c r="R103" i="1"/>
  <c r="S103" i="1" s="1"/>
  <c r="V103" i="1"/>
  <c r="Y103" i="1" s="1"/>
  <c r="K105" i="1"/>
  <c r="M104" i="1"/>
  <c r="T104" i="1" s="1"/>
  <c r="Q104" i="1"/>
  <c r="O104" i="1"/>
  <c r="N105" i="1"/>
  <c r="L105" i="1"/>
  <c r="U105" i="1" l="1"/>
  <c r="X104" i="1"/>
  <c r="W103" i="1"/>
  <c r="R104" i="1"/>
  <c r="S104" i="1" s="1"/>
  <c r="V104" i="1"/>
  <c r="Y104" i="1" s="1"/>
  <c r="K106" i="1"/>
  <c r="M105" i="1"/>
  <c r="T105" i="1" s="1"/>
  <c r="Q105" i="1"/>
  <c r="O105" i="1"/>
  <c r="N106" i="1"/>
  <c r="L106" i="1"/>
  <c r="U106" i="1" l="1"/>
  <c r="X105" i="1"/>
  <c r="W104" i="1"/>
  <c r="R105" i="1"/>
  <c r="S105" i="1" s="1"/>
  <c r="V105" i="1"/>
  <c r="Y105" i="1" s="1"/>
  <c r="K107" i="1"/>
  <c r="M106" i="1"/>
  <c r="T106" i="1" s="1"/>
  <c r="Q106" i="1"/>
  <c r="O106" i="1"/>
  <c r="N107" i="1"/>
  <c r="L107" i="1"/>
  <c r="U107" i="1" l="1"/>
  <c r="X106" i="1"/>
  <c r="W105" i="1"/>
  <c r="R106" i="1"/>
  <c r="S106" i="1" s="1"/>
  <c r="V106" i="1"/>
  <c r="Y106" i="1" s="1"/>
  <c r="K108" i="1"/>
  <c r="M107" i="1"/>
  <c r="T107" i="1" s="1"/>
  <c r="Q107" i="1"/>
  <c r="O107" i="1"/>
  <c r="N108" i="1"/>
  <c r="L108" i="1"/>
  <c r="U108" i="1" l="1"/>
  <c r="X107" i="1"/>
  <c r="W106" i="1"/>
  <c r="R107" i="1"/>
  <c r="S107" i="1" s="1"/>
  <c r="V107" i="1"/>
  <c r="Y107" i="1" s="1"/>
  <c r="K109" i="1"/>
  <c r="M108" i="1"/>
  <c r="T108" i="1" s="1"/>
  <c r="Q108" i="1"/>
  <c r="O108" i="1"/>
  <c r="N109" i="1"/>
  <c r="L109" i="1"/>
  <c r="U109" i="1" l="1"/>
  <c r="X108" i="1"/>
  <c r="W107" i="1"/>
  <c r="R108" i="1"/>
  <c r="S108" i="1" s="1"/>
  <c r="V108" i="1"/>
  <c r="Y108" i="1" s="1"/>
  <c r="K110" i="1"/>
  <c r="M109" i="1"/>
  <c r="T109" i="1" s="1"/>
  <c r="Q109" i="1"/>
  <c r="O109" i="1"/>
  <c r="N110" i="1"/>
  <c r="L110" i="1"/>
  <c r="U110" i="1" l="1"/>
  <c r="X109" i="1"/>
  <c r="W108" i="1"/>
  <c r="R109" i="1"/>
  <c r="S109" i="1" s="1"/>
  <c r="V109" i="1"/>
  <c r="Y109" i="1" s="1"/>
  <c r="K111" i="1"/>
  <c r="M110" i="1"/>
  <c r="T110" i="1" s="1"/>
  <c r="Q110" i="1"/>
  <c r="O110" i="1"/>
  <c r="N111" i="1"/>
  <c r="L111" i="1"/>
  <c r="U111" i="1" l="1"/>
  <c r="X110" i="1"/>
  <c r="W109" i="1"/>
  <c r="R110" i="1"/>
  <c r="S110" i="1" s="1"/>
  <c r="V110" i="1"/>
  <c r="Y110" i="1" s="1"/>
  <c r="K112" i="1"/>
  <c r="M111" i="1"/>
  <c r="T111" i="1" s="1"/>
  <c r="Q111" i="1"/>
  <c r="O111" i="1"/>
  <c r="N112" i="1"/>
  <c r="L112" i="1"/>
  <c r="U112" i="1" l="1"/>
  <c r="X111" i="1"/>
  <c r="W110" i="1"/>
  <c r="R111" i="1"/>
  <c r="S111" i="1" s="1"/>
  <c r="V111" i="1"/>
  <c r="Y111" i="1" s="1"/>
  <c r="K113" i="1"/>
  <c r="M112" i="1"/>
  <c r="T112" i="1" s="1"/>
  <c r="Q112" i="1"/>
  <c r="O112" i="1"/>
  <c r="N113" i="1"/>
  <c r="L113" i="1"/>
  <c r="U113" i="1" l="1"/>
  <c r="X112" i="1"/>
  <c r="W111" i="1"/>
  <c r="R112" i="1"/>
  <c r="S112" i="1" s="1"/>
  <c r="V112" i="1"/>
  <c r="Y112" i="1" s="1"/>
  <c r="K114" i="1"/>
  <c r="M113" i="1"/>
  <c r="T113" i="1" s="1"/>
  <c r="Q113" i="1"/>
  <c r="O113" i="1"/>
  <c r="N114" i="1"/>
  <c r="L114" i="1"/>
  <c r="U114" i="1" l="1"/>
  <c r="X113" i="1"/>
  <c r="W112" i="1"/>
  <c r="R113" i="1"/>
  <c r="S113" i="1" s="1"/>
  <c r="V113" i="1"/>
  <c r="Y113" i="1" s="1"/>
  <c r="K115" i="1"/>
  <c r="M114" i="1"/>
  <c r="T114" i="1" s="1"/>
  <c r="Q114" i="1"/>
  <c r="O114" i="1"/>
  <c r="N115" i="1"/>
  <c r="L115" i="1"/>
  <c r="U115" i="1" l="1"/>
  <c r="X114" i="1"/>
  <c r="W113" i="1"/>
  <c r="R114" i="1"/>
  <c r="S114" i="1" s="1"/>
  <c r="V114" i="1"/>
  <c r="Y114" i="1" s="1"/>
  <c r="K116" i="1"/>
  <c r="M115" i="1"/>
  <c r="T115" i="1" s="1"/>
  <c r="Q115" i="1"/>
  <c r="O115" i="1"/>
  <c r="N116" i="1"/>
  <c r="L116" i="1"/>
  <c r="U116" i="1" l="1"/>
  <c r="X115" i="1"/>
  <c r="W114" i="1"/>
  <c r="R115" i="1"/>
  <c r="S115" i="1" s="1"/>
  <c r="V115" i="1"/>
  <c r="Y115" i="1" s="1"/>
  <c r="K117" i="1"/>
  <c r="M116" i="1"/>
  <c r="T116" i="1" s="1"/>
  <c r="Q116" i="1"/>
  <c r="O116" i="1"/>
  <c r="N117" i="1"/>
  <c r="L117" i="1"/>
  <c r="U117" i="1" l="1"/>
  <c r="X116" i="1"/>
  <c r="W115" i="1"/>
  <c r="R116" i="1"/>
  <c r="S116" i="1" s="1"/>
  <c r="V116" i="1"/>
  <c r="Y116" i="1" s="1"/>
  <c r="K118" i="1"/>
  <c r="M117" i="1"/>
  <c r="T117" i="1" s="1"/>
  <c r="Q117" i="1"/>
  <c r="O117" i="1"/>
  <c r="N118" i="1"/>
  <c r="L118" i="1"/>
  <c r="U118" i="1" l="1"/>
  <c r="W116" i="1"/>
  <c r="X117" i="1"/>
  <c r="R117" i="1"/>
  <c r="S117" i="1" s="1"/>
  <c r="V117" i="1"/>
  <c r="Y117" i="1" s="1"/>
  <c r="K119" i="1"/>
  <c r="M118" i="1"/>
  <c r="T118" i="1" s="1"/>
  <c r="Q118" i="1"/>
  <c r="O118" i="1"/>
  <c r="N119" i="1"/>
  <c r="L119" i="1"/>
  <c r="U119" i="1" l="1"/>
  <c r="X118" i="1"/>
  <c r="W117" i="1"/>
  <c r="R118" i="1"/>
  <c r="S118" i="1" s="1"/>
  <c r="V118" i="1"/>
  <c r="Y118" i="1" s="1"/>
  <c r="K120" i="1"/>
  <c r="M119" i="1"/>
  <c r="T119" i="1" s="1"/>
  <c r="Q119" i="1"/>
  <c r="O119" i="1"/>
  <c r="N120" i="1"/>
  <c r="L120" i="1"/>
  <c r="U120" i="1" l="1"/>
  <c r="W118" i="1"/>
  <c r="X119" i="1"/>
  <c r="R119" i="1"/>
  <c r="S119" i="1" s="1"/>
  <c r="V119" i="1"/>
  <c r="Y119" i="1" s="1"/>
  <c r="K121" i="1"/>
  <c r="M120" i="1"/>
  <c r="T120" i="1" s="1"/>
  <c r="Q120" i="1"/>
  <c r="O120" i="1"/>
  <c r="N121" i="1"/>
  <c r="L121" i="1"/>
  <c r="U121" i="1" l="1"/>
  <c r="X120" i="1"/>
  <c r="W119" i="1"/>
  <c r="R120" i="1"/>
  <c r="S120" i="1" s="1"/>
  <c r="V120" i="1"/>
  <c r="Y120" i="1" s="1"/>
  <c r="K122" i="1"/>
  <c r="M121" i="1"/>
  <c r="T121" i="1" s="1"/>
  <c r="Q121" i="1"/>
  <c r="O121" i="1"/>
  <c r="N122" i="1"/>
  <c r="L122" i="1"/>
  <c r="U122" i="1" l="1"/>
  <c r="W120" i="1"/>
  <c r="X121" i="1"/>
  <c r="R121" i="1"/>
  <c r="S121" i="1" s="1"/>
  <c r="V121" i="1"/>
  <c r="Y121" i="1" s="1"/>
  <c r="K123" i="1"/>
  <c r="M122" i="1"/>
  <c r="T122" i="1" s="1"/>
  <c r="Q122" i="1"/>
  <c r="O122" i="1"/>
  <c r="N123" i="1"/>
  <c r="L123" i="1"/>
  <c r="U123" i="1" l="1"/>
  <c r="X122" i="1"/>
  <c r="W121" i="1"/>
  <c r="R122" i="1"/>
  <c r="S122" i="1" s="1"/>
  <c r="V122" i="1"/>
  <c r="Y122" i="1" s="1"/>
  <c r="K124" i="1"/>
  <c r="M123" i="1"/>
  <c r="T123" i="1" s="1"/>
  <c r="Q123" i="1"/>
  <c r="O123" i="1"/>
  <c r="N124" i="1"/>
  <c r="L124" i="1"/>
  <c r="U124" i="1" l="1"/>
  <c r="X123" i="1"/>
  <c r="W122" i="1"/>
  <c r="R123" i="1"/>
  <c r="S123" i="1" s="1"/>
  <c r="V123" i="1"/>
  <c r="Y123" i="1" s="1"/>
  <c r="K125" i="1"/>
  <c r="M124" i="1"/>
  <c r="T124" i="1" s="1"/>
  <c r="Q124" i="1"/>
  <c r="O124" i="1"/>
  <c r="N125" i="1"/>
  <c r="L125" i="1"/>
  <c r="U125" i="1" l="1"/>
  <c r="X124" i="1"/>
  <c r="W123" i="1"/>
  <c r="R124" i="1"/>
  <c r="S124" i="1" s="1"/>
  <c r="V124" i="1"/>
  <c r="Y124" i="1" s="1"/>
  <c r="K126" i="1"/>
  <c r="M125" i="1"/>
  <c r="T125" i="1" s="1"/>
  <c r="Q125" i="1"/>
  <c r="O125" i="1"/>
  <c r="N126" i="1"/>
  <c r="L126" i="1"/>
  <c r="U126" i="1" l="1"/>
  <c r="X125" i="1"/>
  <c r="W124" i="1"/>
  <c r="R125" i="1"/>
  <c r="S125" i="1" s="1"/>
  <c r="V125" i="1"/>
  <c r="Y125" i="1" s="1"/>
  <c r="K127" i="1"/>
  <c r="M126" i="1"/>
  <c r="T126" i="1" s="1"/>
  <c r="Q126" i="1"/>
  <c r="O126" i="1"/>
  <c r="N127" i="1"/>
  <c r="L127" i="1"/>
  <c r="U127" i="1" l="1"/>
  <c r="W125" i="1"/>
  <c r="X126" i="1"/>
  <c r="R126" i="1"/>
  <c r="S126" i="1" s="1"/>
  <c r="V126" i="1"/>
  <c r="Y126" i="1" s="1"/>
  <c r="K128" i="1"/>
  <c r="M127" i="1"/>
  <c r="T127" i="1" s="1"/>
  <c r="Q127" i="1"/>
  <c r="O127" i="1"/>
  <c r="N128" i="1"/>
  <c r="L128" i="1"/>
  <c r="U128" i="1" l="1"/>
  <c r="W126" i="1"/>
  <c r="X127" i="1"/>
  <c r="R127" i="1"/>
  <c r="S127" i="1" s="1"/>
  <c r="V127" i="1"/>
  <c r="Y127" i="1" s="1"/>
  <c r="K129" i="1"/>
  <c r="M128" i="1"/>
  <c r="T128" i="1" s="1"/>
  <c r="Q128" i="1"/>
  <c r="O128" i="1"/>
  <c r="N129" i="1"/>
  <c r="L129" i="1"/>
  <c r="U129" i="1" l="1"/>
  <c r="W127" i="1"/>
  <c r="X128" i="1"/>
  <c r="R128" i="1"/>
  <c r="S128" i="1" s="1"/>
  <c r="V128" i="1"/>
  <c r="Y128" i="1" s="1"/>
  <c r="K130" i="1"/>
  <c r="M129" i="1"/>
  <c r="T129" i="1" s="1"/>
  <c r="Q129" i="1"/>
  <c r="O129" i="1"/>
  <c r="N130" i="1"/>
  <c r="L130" i="1"/>
  <c r="U130" i="1" l="1"/>
  <c r="X129" i="1"/>
  <c r="W128" i="1"/>
  <c r="R129" i="1"/>
  <c r="S129" i="1" s="1"/>
  <c r="V129" i="1"/>
  <c r="Y129" i="1" s="1"/>
  <c r="K131" i="1"/>
  <c r="M130" i="1"/>
  <c r="T130" i="1" s="1"/>
  <c r="Q130" i="1"/>
  <c r="O130" i="1"/>
  <c r="N131" i="1"/>
  <c r="L131" i="1"/>
  <c r="U131" i="1" l="1"/>
  <c r="X130" i="1"/>
  <c r="W129" i="1"/>
  <c r="R130" i="1"/>
  <c r="S130" i="1" s="1"/>
  <c r="V130" i="1"/>
  <c r="Y130" i="1" s="1"/>
  <c r="K132" i="1"/>
  <c r="M131" i="1"/>
  <c r="T131" i="1" s="1"/>
  <c r="Q131" i="1"/>
  <c r="O131" i="1"/>
  <c r="N132" i="1"/>
  <c r="L132" i="1"/>
  <c r="U132" i="1" l="1"/>
  <c r="W130" i="1"/>
  <c r="X131" i="1"/>
  <c r="R131" i="1"/>
  <c r="S131" i="1" s="1"/>
  <c r="V131" i="1"/>
  <c r="Y131" i="1" s="1"/>
  <c r="K133" i="1"/>
  <c r="M132" i="1"/>
  <c r="T132" i="1" s="1"/>
  <c r="Q132" i="1"/>
  <c r="O132" i="1"/>
  <c r="N133" i="1"/>
  <c r="L133" i="1"/>
  <c r="U133" i="1" l="1"/>
  <c r="X132" i="1"/>
  <c r="W131" i="1"/>
  <c r="R132" i="1"/>
  <c r="S132" i="1" s="1"/>
  <c r="V132" i="1"/>
  <c r="Y132" i="1" s="1"/>
  <c r="K134" i="1"/>
  <c r="M133" i="1"/>
  <c r="T133" i="1" s="1"/>
  <c r="Q133" i="1"/>
  <c r="O133" i="1"/>
  <c r="N134" i="1"/>
  <c r="L134" i="1"/>
  <c r="U134" i="1" l="1"/>
  <c r="W132" i="1"/>
  <c r="X133" i="1"/>
  <c r="R133" i="1"/>
  <c r="S133" i="1" s="1"/>
  <c r="V133" i="1"/>
  <c r="Y133" i="1" s="1"/>
  <c r="K135" i="1"/>
  <c r="M134" i="1"/>
  <c r="T134" i="1" s="1"/>
  <c r="Q134" i="1"/>
  <c r="O134" i="1"/>
  <c r="N135" i="1"/>
  <c r="L135" i="1"/>
  <c r="U135" i="1" l="1"/>
  <c r="X134" i="1"/>
  <c r="W133" i="1"/>
  <c r="R134" i="1"/>
  <c r="S134" i="1" s="1"/>
  <c r="V134" i="1"/>
  <c r="Y134" i="1" s="1"/>
  <c r="K136" i="1"/>
  <c r="M135" i="1"/>
  <c r="T135" i="1" s="1"/>
  <c r="Q135" i="1"/>
  <c r="O135" i="1"/>
  <c r="N136" i="1"/>
  <c r="L136" i="1"/>
  <c r="U136" i="1" l="1"/>
  <c r="W134" i="1"/>
  <c r="X135" i="1"/>
  <c r="R135" i="1"/>
  <c r="S135" i="1" s="1"/>
  <c r="V135" i="1"/>
  <c r="Y135" i="1" s="1"/>
  <c r="K137" i="1"/>
  <c r="M136" i="1"/>
  <c r="T136" i="1" s="1"/>
  <c r="Q136" i="1"/>
  <c r="O136" i="1"/>
  <c r="N137" i="1"/>
  <c r="L137" i="1"/>
  <c r="U137" i="1" l="1"/>
  <c r="W135" i="1"/>
  <c r="X136" i="1"/>
  <c r="R136" i="1"/>
  <c r="S136" i="1" s="1"/>
  <c r="V136" i="1"/>
  <c r="Y136" i="1" s="1"/>
  <c r="K138" i="1"/>
  <c r="M137" i="1"/>
  <c r="T137" i="1" s="1"/>
  <c r="Q137" i="1"/>
  <c r="O137" i="1"/>
  <c r="N138" i="1"/>
  <c r="L138" i="1"/>
  <c r="U138" i="1" l="1"/>
  <c r="X137" i="1"/>
  <c r="W136" i="1"/>
  <c r="R137" i="1"/>
  <c r="S137" i="1" s="1"/>
  <c r="V137" i="1"/>
  <c r="Y137" i="1" s="1"/>
  <c r="K139" i="1"/>
  <c r="M138" i="1"/>
  <c r="T138" i="1" s="1"/>
  <c r="Q138" i="1"/>
  <c r="O138" i="1"/>
  <c r="N139" i="1"/>
  <c r="L139" i="1"/>
  <c r="U139" i="1" l="1"/>
  <c r="X138" i="1"/>
  <c r="W137" i="1"/>
  <c r="R138" i="1"/>
  <c r="S138" i="1" s="1"/>
  <c r="V138" i="1"/>
  <c r="Y138" i="1" s="1"/>
  <c r="K140" i="1"/>
  <c r="M139" i="1"/>
  <c r="T139" i="1" s="1"/>
  <c r="Q139" i="1"/>
  <c r="O139" i="1"/>
  <c r="N140" i="1"/>
  <c r="L140" i="1"/>
  <c r="U140" i="1" l="1"/>
  <c r="W138" i="1"/>
  <c r="X139" i="1"/>
  <c r="R139" i="1"/>
  <c r="S139" i="1" s="1"/>
  <c r="V139" i="1"/>
  <c r="Y139" i="1" s="1"/>
  <c r="K141" i="1"/>
  <c r="M140" i="1"/>
  <c r="T140" i="1" s="1"/>
  <c r="Q140" i="1"/>
  <c r="O140" i="1"/>
  <c r="N141" i="1"/>
  <c r="L141" i="1"/>
  <c r="U141" i="1" l="1"/>
  <c r="X140" i="1"/>
  <c r="W139" i="1"/>
  <c r="R140" i="1"/>
  <c r="S140" i="1" s="1"/>
  <c r="V140" i="1"/>
  <c r="Y140" i="1" s="1"/>
  <c r="K142" i="1"/>
  <c r="M141" i="1"/>
  <c r="T141" i="1" s="1"/>
  <c r="Q141" i="1"/>
  <c r="O141" i="1"/>
  <c r="N142" i="1"/>
  <c r="L142" i="1"/>
  <c r="U142" i="1" l="1"/>
  <c r="W140" i="1"/>
  <c r="X141" i="1"/>
  <c r="R141" i="1"/>
  <c r="S141" i="1" s="1"/>
  <c r="V141" i="1"/>
  <c r="Y141" i="1" s="1"/>
  <c r="K143" i="1"/>
  <c r="M142" i="1"/>
  <c r="T142" i="1" s="1"/>
  <c r="Q142" i="1"/>
  <c r="O142" i="1"/>
  <c r="N143" i="1"/>
  <c r="L143" i="1"/>
  <c r="U143" i="1" l="1"/>
  <c r="X142" i="1"/>
  <c r="W141" i="1"/>
  <c r="R142" i="1"/>
  <c r="S142" i="1" s="1"/>
  <c r="V142" i="1"/>
  <c r="Y142" i="1" s="1"/>
  <c r="K144" i="1"/>
  <c r="M143" i="1"/>
  <c r="T143" i="1" s="1"/>
  <c r="Q143" i="1"/>
  <c r="O143" i="1"/>
  <c r="N144" i="1"/>
  <c r="L144" i="1"/>
  <c r="U144" i="1" l="1"/>
  <c r="X143" i="1"/>
  <c r="W142" i="1"/>
  <c r="R143" i="1"/>
  <c r="S143" i="1" s="1"/>
  <c r="V143" i="1"/>
  <c r="Y143" i="1" s="1"/>
  <c r="K145" i="1"/>
  <c r="M144" i="1"/>
  <c r="T144" i="1" s="1"/>
  <c r="Q144" i="1"/>
  <c r="O144" i="1"/>
  <c r="N145" i="1"/>
  <c r="L145" i="1"/>
  <c r="U145" i="1" l="1"/>
  <c r="X144" i="1"/>
  <c r="W143" i="1"/>
  <c r="R144" i="1"/>
  <c r="S144" i="1" s="1"/>
  <c r="V144" i="1"/>
  <c r="Y144" i="1" s="1"/>
  <c r="K146" i="1"/>
  <c r="M145" i="1"/>
  <c r="T145" i="1" s="1"/>
  <c r="Q145" i="1"/>
  <c r="O145" i="1"/>
  <c r="N146" i="1"/>
  <c r="L146" i="1"/>
  <c r="U146" i="1" l="1"/>
  <c r="W144" i="1"/>
  <c r="X145" i="1"/>
  <c r="R145" i="1"/>
  <c r="S145" i="1" s="1"/>
  <c r="V145" i="1"/>
  <c r="Y145" i="1" s="1"/>
  <c r="K147" i="1"/>
  <c r="M146" i="1"/>
  <c r="T146" i="1" s="1"/>
  <c r="Q146" i="1"/>
  <c r="O146" i="1"/>
  <c r="N147" i="1"/>
  <c r="L147" i="1"/>
  <c r="U147" i="1" l="1"/>
  <c r="X146" i="1"/>
  <c r="W145" i="1"/>
  <c r="R146" i="1"/>
  <c r="S146" i="1" s="1"/>
  <c r="V146" i="1"/>
  <c r="Y146" i="1" s="1"/>
  <c r="K148" i="1"/>
  <c r="M147" i="1"/>
  <c r="T147" i="1" s="1"/>
  <c r="Q147" i="1"/>
  <c r="O147" i="1"/>
  <c r="N148" i="1"/>
  <c r="L148" i="1"/>
  <c r="U148" i="1" l="1"/>
  <c r="X147" i="1"/>
  <c r="W146" i="1"/>
  <c r="R147" i="1"/>
  <c r="S147" i="1" s="1"/>
  <c r="V147" i="1"/>
  <c r="Y147" i="1" s="1"/>
  <c r="K149" i="1"/>
  <c r="M148" i="1"/>
  <c r="T148" i="1" s="1"/>
  <c r="Q148" i="1"/>
  <c r="O148" i="1"/>
  <c r="N149" i="1"/>
  <c r="L149" i="1"/>
  <c r="U149" i="1" l="1"/>
  <c r="X148" i="1"/>
  <c r="W147" i="1"/>
  <c r="R148" i="1"/>
  <c r="S148" i="1" s="1"/>
  <c r="V148" i="1"/>
  <c r="Y148" i="1" s="1"/>
  <c r="K150" i="1"/>
  <c r="M149" i="1"/>
  <c r="T149" i="1" s="1"/>
  <c r="Q149" i="1"/>
  <c r="O149" i="1"/>
  <c r="N150" i="1"/>
  <c r="L150" i="1"/>
  <c r="U150" i="1" l="1"/>
  <c r="W148" i="1"/>
  <c r="X149" i="1"/>
  <c r="R149" i="1"/>
  <c r="S149" i="1" s="1"/>
  <c r="V149" i="1"/>
  <c r="Y149" i="1" s="1"/>
  <c r="K151" i="1"/>
  <c r="M150" i="1"/>
  <c r="T150" i="1" s="1"/>
  <c r="Q150" i="1"/>
  <c r="O150" i="1"/>
  <c r="N151" i="1"/>
  <c r="L151" i="1"/>
  <c r="U151" i="1" l="1"/>
  <c r="X150" i="1"/>
  <c r="W149" i="1"/>
  <c r="R150" i="1"/>
  <c r="S150" i="1" s="1"/>
  <c r="V150" i="1"/>
  <c r="Y150" i="1" s="1"/>
  <c r="K152" i="1"/>
  <c r="M151" i="1"/>
  <c r="T151" i="1" s="1"/>
  <c r="Q151" i="1"/>
  <c r="O151" i="1"/>
  <c r="N152" i="1"/>
  <c r="L152" i="1"/>
  <c r="U152" i="1" l="1"/>
  <c r="X151" i="1"/>
  <c r="W150" i="1"/>
  <c r="R151" i="1"/>
  <c r="S151" i="1" s="1"/>
  <c r="V151" i="1"/>
  <c r="Y151" i="1" s="1"/>
  <c r="K153" i="1"/>
  <c r="M152" i="1"/>
  <c r="T152" i="1" s="1"/>
  <c r="Q152" i="1"/>
  <c r="O152" i="1"/>
  <c r="N153" i="1"/>
  <c r="L153" i="1"/>
  <c r="U153" i="1" l="1"/>
  <c r="X152" i="1"/>
  <c r="W151" i="1"/>
  <c r="R152" i="1"/>
  <c r="S152" i="1" s="1"/>
  <c r="V152" i="1"/>
  <c r="Y152" i="1" s="1"/>
  <c r="K154" i="1"/>
  <c r="M153" i="1"/>
  <c r="T153" i="1" s="1"/>
  <c r="Q153" i="1"/>
  <c r="O153" i="1"/>
  <c r="N154" i="1"/>
  <c r="L154" i="1"/>
  <c r="U154" i="1" l="1"/>
  <c r="W152" i="1"/>
  <c r="X153" i="1"/>
  <c r="R153" i="1"/>
  <c r="S153" i="1" s="1"/>
  <c r="V153" i="1"/>
  <c r="Y153" i="1" s="1"/>
  <c r="K155" i="1"/>
  <c r="M154" i="1"/>
  <c r="T154" i="1" s="1"/>
  <c r="Q154" i="1"/>
  <c r="O154" i="1"/>
  <c r="N155" i="1"/>
  <c r="L155" i="1"/>
  <c r="U155" i="1" l="1"/>
  <c r="W153" i="1"/>
  <c r="X154" i="1"/>
  <c r="R154" i="1"/>
  <c r="S154" i="1" s="1"/>
  <c r="V154" i="1"/>
  <c r="Y154" i="1" s="1"/>
  <c r="K156" i="1"/>
  <c r="M155" i="1"/>
  <c r="T155" i="1" s="1"/>
  <c r="Q155" i="1"/>
  <c r="O155" i="1"/>
  <c r="N156" i="1"/>
  <c r="L156" i="1"/>
  <c r="U156" i="1" l="1"/>
  <c r="X155" i="1"/>
  <c r="W154" i="1"/>
  <c r="R155" i="1"/>
  <c r="S155" i="1" s="1"/>
  <c r="V155" i="1"/>
  <c r="Y155" i="1" s="1"/>
  <c r="K157" i="1"/>
  <c r="M156" i="1"/>
  <c r="T156" i="1" s="1"/>
  <c r="Q156" i="1"/>
  <c r="O156" i="1"/>
  <c r="N157" i="1"/>
  <c r="L157" i="1"/>
  <c r="U157" i="1" l="1"/>
  <c r="W155" i="1"/>
  <c r="X156" i="1"/>
  <c r="R156" i="1"/>
  <c r="S156" i="1" s="1"/>
  <c r="V156" i="1"/>
  <c r="Y156" i="1" s="1"/>
  <c r="K158" i="1"/>
  <c r="M157" i="1"/>
  <c r="T157" i="1" s="1"/>
  <c r="Q157" i="1"/>
  <c r="O157" i="1"/>
  <c r="N158" i="1"/>
  <c r="L158" i="1"/>
  <c r="U158" i="1" l="1"/>
  <c r="W156" i="1"/>
  <c r="X157" i="1"/>
  <c r="R157" i="1"/>
  <c r="S157" i="1" s="1"/>
  <c r="V157" i="1"/>
  <c r="Y157" i="1" s="1"/>
  <c r="K159" i="1"/>
  <c r="M158" i="1"/>
  <c r="T158" i="1" s="1"/>
  <c r="Q158" i="1"/>
  <c r="O158" i="1"/>
  <c r="N159" i="1"/>
  <c r="L159" i="1"/>
  <c r="U159" i="1" l="1"/>
  <c r="W157" i="1"/>
  <c r="X158" i="1"/>
  <c r="R158" i="1"/>
  <c r="S158" i="1" s="1"/>
  <c r="V158" i="1"/>
  <c r="Y158" i="1" s="1"/>
  <c r="K160" i="1"/>
  <c r="M159" i="1"/>
  <c r="T159" i="1" s="1"/>
  <c r="Q159" i="1"/>
  <c r="O159" i="1"/>
  <c r="N160" i="1"/>
  <c r="L160" i="1"/>
  <c r="U160" i="1" l="1"/>
  <c r="X159" i="1"/>
  <c r="W158" i="1"/>
  <c r="R159" i="1"/>
  <c r="S159" i="1" s="1"/>
  <c r="V159" i="1"/>
  <c r="Y159" i="1" s="1"/>
  <c r="K161" i="1"/>
  <c r="M160" i="1"/>
  <c r="T160" i="1" s="1"/>
  <c r="Q160" i="1"/>
  <c r="O160" i="1"/>
  <c r="N161" i="1"/>
  <c r="L161" i="1"/>
  <c r="U161" i="1" l="1"/>
  <c r="X160" i="1"/>
  <c r="W159" i="1"/>
  <c r="R160" i="1"/>
  <c r="S160" i="1" s="1"/>
  <c r="V160" i="1"/>
  <c r="Y160" i="1" s="1"/>
  <c r="K162" i="1"/>
  <c r="M161" i="1"/>
  <c r="T161" i="1" s="1"/>
  <c r="Q161" i="1"/>
  <c r="O161" i="1"/>
  <c r="N162" i="1"/>
  <c r="L162" i="1"/>
  <c r="U162" i="1" l="1"/>
  <c r="X161" i="1"/>
  <c r="W160" i="1"/>
  <c r="R161" i="1"/>
  <c r="S161" i="1" s="1"/>
  <c r="V161" i="1"/>
  <c r="Y161" i="1" s="1"/>
  <c r="K163" i="1"/>
  <c r="M162" i="1"/>
  <c r="T162" i="1" s="1"/>
  <c r="Q162" i="1"/>
  <c r="O162" i="1"/>
  <c r="N163" i="1"/>
  <c r="L163" i="1"/>
  <c r="U163" i="1" l="1"/>
  <c r="X162" i="1"/>
  <c r="W161" i="1"/>
  <c r="R162" i="1"/>
  <c r="S162" i="1" s="1"/>
  <c r="V162" i="1"/>
  <c r="Y162" i="1" s="1"/>
  <c r="K164" i="1"/>
  <c r="M163" i="1"/>
  <c r="T163" i="1" s="1"/>
  <c r="Q163" i="1"/>
  <c r="O163" i="1"/>
  <c r="N164" i="1"/>
  <c r="L164" i="1"/>
  <c r="U164" i="1" l="1"/>
  <c r="W162" i="1"/>
  <c r="X163" i="1"/>
  <c r="R163" i="1"/>
  <c r="S163" i="1" s="1"/>
  <c r="V163" i="1"/>
  <c r="Y163" i="1" s="1"/>
  <c r="K165" i="1"/>
  <c r="M164" i="1"/>
  <c r="T164" i="1" s="1"/>
  <c r="Q164" i="1"/>
  <c r="O164" i="1"/>
  <c r="N165" i="1"/>
  <c r="L165" i="1"/>
  <c r="U165" i="1" l="1"/>
  <c r="X164" i="1"/>
  <c r="W163" i="1"/>
  <c r="R164" i="1"/>
  <c r="S164" i="1" s="1"/>
  <c r="V164" i="1"/>
  <c r="Y164" i="1" s="1"/>
  <c r="K166" i="1"/>
  <c r="M165" i="1"/>
  <c r="T165" i="1" s="1"/>
  <c r="Q165" i="1"/>
  <c r="O165" i="1"/>
  <c r="N166" i="1"/>
  <c r="L166" i="1"/>
  <c r="U166" i="1" l="1"/>
  <c r="X165" i="1"/>
  <c r="W164" i="1"/>
  <c r="R165" i="1"/>
  <c r="S165" i="1" s="1"/>
  <c r="V165" i="1"/>
  <c r="Y165" i="1" s="1"/>
  <c r="K167" i="1"/>
  <c r="M166" i="1"/>
  <c r="T166" i="1" s="1"/>
  <c r="Q166" i="1"/>
  <c r="O166" i="1"/>
  <c r="N167" i="1"/>
  <c r="L167" i="1"/>
  <c r="U167" i="1" l="1"/>
  <c r="X166" i="1"/>
  <c r="W165" i="1"/>
  <c r="R166" i="1"/>
  <c r="S166" i="1" s="1"/>
  <c r="V166" i="1"/>
  <c r="Y166" i="1" s="1"/>
  <c r="K168" i="1"/>
  <c r="M167" i="1"/>
  <c r="T167" i="1" s="1"/>
  <c r="Q167" i="1"/>
  <c r="O167" i="1"/>
  <c r="N168" i="1"/>
  <c r="L168" i="1"/>
  <c r="U168" i="1" l="1"/>
  <c r="W166" i="1"/>
  <c r="X167" i="1"/>
  <c r="R167" i="1"/>
  <c r="S167" i="1" s="1"/>
  <c r="V167" i="1"/>
  <c r="Y167" i="1" s="1"/>
  <c r="K169" i="1"/>
  <c r="M168" i="1"/>
  <c r="T168" i="1" s="1"/>
  <c r="Q168" i="1"/>
  <c r="O168" i="1"/>
  <c r="N169" i="1"/>
  <c r="L169" i="1"/>
  <c r="U169" i="1" l="1"/>
  <c r="X168" i="1"/>
  <c r="W167" i="1"/>
  <c r="R168" i="1"/>
  <c r="S168" i="1" s="1"/>
  <c r="V168" i="1"/>
  <c r="Y168" i="1" s="1"/>
  <c r="K170" i="1"/>
  <c r="M169" i="1"/>
  <c r="T169" i="1" s="1"/>
  <c r="Q169" i="1"/>
  <c r="O169" i="1"/>
  <c r="N170" i="1"/>
  <c r="L170" i="1"/>
  <c r="U170" i="1" l="1"/>
  <c r="X169" i="1"/>
  <c r="W168" i="1"/>
  <c r="R169" i="1"/>
  <c r="S169" i="1" s="1"/>
  <c r="V169" i="1"/>
  <c r="Y169" i="1" s="1"/>
  <c r="K171" i="1"/>
  <c r="M170" i="1"/>
  <c r="T170" i="1" s="1"/>
  <c r="Q170" i="1"/>
  <c r="O170" i="1"/>
  <c r="N171" i="1"/>
  <c r="L171" i="1"/>
  <c r="U171" i="1" l="1"/>
  <c r="X170" i="1"/>
  <c r="W169" i="1"/>
  <c r="R170" i="1"/>
  <c r="S170" i="1" s="1"/>
  <c r="V170" i="1"/>
  <c r="Y170" i="1" s="1"/>
  <c r="K172" i="1"/>
  <c r="M171" i="1"/>
  <c r="T171" i="1" s="1"/>
  <c r="Q171" i="1"/>
  <c r="O171" i="1"/>
  <c r="N172" i="1"/>
  <c r="L172" i="1"/>
  <c r="U172" i="1" l="1"/>
  <c r="X171" i="1"/>
  <c r="W170" i="1"/>
  <c r="R171" i="1"/>
  <c r="S171" i="1" s="1"/>
  <c r="V171" i="1"/>
  <c r="Y171" i="1" s="1"/>
  <c r="K173" i="1"/>
  <c r="M172" i="1"/>
  <c r="T172" i="1" s="1"/>
  <c r="Q172" i="1"/>
  <c r="O172" i="1"/>
  <c r="N173" i="1"/>
  <c r="L173" i="1"/>
  <c r="U173" i="1" l="1"/>
  <c r="X172" i="1"/>
  <c r="W171" i="1"/>
  <c r="R172" i="1"/>
  <c r="S172" i="1" s="1"/>
  <c r="V172" i="1"/>
  <c r="Y172" i="1" s="1"/>
  <c r="K174" i="1"/>
  <c r="M173" i="1"/>
  <c r="T173" i="1" s="1"/>
  <c r="Q173" i="1"/>
  <c r="O173" i="1"/>
  <c r="N174" i="1"/>
  <c r="L174" i="1"/>
  <c r="U174" i="1" l="1"/>
  <c r="X173" i="1"/>
  <c r="W172" i="1"/>
  <c r="R173" i="1"/>
  <c r="S173" i="1" s="1"/>
  <c r="V173" i="1"/>
  <c r="Y173" i="1" s="1"/>
  <c r="K175" i="1"/>
  <c r="M174" i="1"/>
  <c r="T174" i="1" s="1"/>
  <c r="Q174" i="1"/>
  <c r="O174" i="1"/>
  <c r="N175" i="1"/>
  <c r="L175" i="1"/>
  <c r="U175" i="1" l="1"/>
  <c r="X174" i="1"/>
  <c r="W173" i="1"/>
  <c r="R174" i="1"/>
  <c r="S174" i="1" s="1"/>
  <c r="V174" i="1"/>
  <c r="Y174" i="1" s="1"/>
  <c r="K176" i="1"/>
  <c r="M175" i="1"/>
  <c r="T175" i="1" s="1"/>
  <c r="Q175" i="1"/>
  <c r="O175" i="1"/>
  <c r="N176" i="1"/>
  <c r="L176" i="1"/>
  <c r="U176" i="1" l="1"/>
  <c r="X175" i="1"/>
  <c r="W174" i="1"/>
  <c r="R175" i="1"/>
  <c r="S175" i="1" s="1"/>
  <c r="V175" i="1"/>
  <c r="Y175" i="1" s="1"/>
  <c r="K177" i="1"/>
  <c r="M176" i="1"/>
  <c r="T176" i="1" s="1"/>
  <c r="Q176" i="1"/>
  <c r="O176" i="1"/>
  <c r="N177" i="1"/>
  <c r="L177" i="1"/>
  <c r="U177" i="1" l="1"/>
  <c r="X176" i="1"/>
  <c r="W175" i="1"/>
  <c r="R176" i="1"/>
  <c r="S176" i="1" s="1"/>
  <c r="V176" i="1"/>
  <c r="Y176" i="1" s="1"/>
  <c r="K178" i="1"/>
  <c r="M177" i="1"/>
  <c r="T177" i="1" s="1"/>
  <c r="Q177" i="1"/>
  <c r="O177" i="1"/>
  <c r="N178" i="1"/>
  <c r="L178" i="1"/>
  <c r="U178" i="1" l="1"/>
  <c r="X177" i="1"/>
  <c r="W176" i="1"/>
  <c r="R177" i="1"/>
  <c r="S177" i="1" s="1"/>
  <c r="V177" i="1"/>
  <c r="Y177" i="1" s="1"/>
  <c r="K179" i="1"/>
  <c r="M178" i="1"/>
  <c r="T178" i="1" s="1"/>
  <c r="Q178" i="1"/>
  <c r="O178" i="1"/>
  <c r="N179" i="1"/>
  <c r="L179" i="1"/>
  <c r="U179" i="1" l="1"/>
  <c r="W177" i="1"/>
  <c r="X178" i="1"/>
  <c r="R178" i="1"/>
  <c r="S178" i="1" s="1"/>
  <c r="V178" i="1"/>
  <c r="Y178" i="1" s="1"/>
  <c r="K180" i="1"/>
  <c r="M179" i="1"/>
  <c r="T179" i="1" s="1"/>
  <c r="Q179" i="1"/>
  <c r="O179" i="1"/>
  <c r="N180" i="1"/>
  <c r="L180" i="1"/>
  <c r="U180" i="1" l="1"/>
  <c r="X179" i="1"/>
  <c r="W178" i="1"/>
  <c r="R179" i="1"/>
  <c r="S179" i="1" s="1"/>
  <c r="V179" i="1"/>
  <c r="Y179" i="1" s="1"/>
  <c r="K181" i="1"/>
  <c r="M180" i="1"/>
  <c r="T180" i="1" s="1"/>
  <c r="Q180" i="1"/>
  <c r="O180" i="1"/>
  <c r="N181" i="1"/>
  <c r="L181" i="1"/>
  <c r="U181" i="1" l="1"/>
  <c r="X180" i="1"/>
  <c r="W179" i="1"/>
  <c r="R180" i="1"/>
  <c r="S180" i="1" s="1"/>
  <c r="V180" i="1"/>
  <c r="Y180" i="1" s="1"/>
  <c r="K182" i="1"/>
  <c r="M181" i="1"/>
  <c r="T181" i="1" s="1"/>
  <c r="Q181" i="1"/>
  <c r="O181" i="1"/>
  <c r="N182" i="1"/>
  <c r="L182" i="1"/>
  <c r="U182" i="1" l="1"/>
  <c r="W180" i="1"/>
  <c r="X181" i="1"/>
  <c r="R181" i="1"/>
  <c r="S181" i="1" s="1"/>
  <c r="V181" i="1"/>
  <c r="Y181" i="1" s="1"/>
  <c r="K183" i="1"/>
  <c r="M182" i="1"/>
  <c r="T182" i="1" s="1"/>
  <c r="Q182" i="1"/>
  <c r="O182" i="1"/>
  <c r="N183" i="1"/>
  <c r="L183" i="1"/>
  <c r="U183" i="1" l="1"/>
  <c r="X182" i="1"/>
  <c r="W181" i="1"/>
  <c r="R182" i="1"/>
  <c r="S182" i="1" s="1"/>
  <c r="V182" i="1"/>
  <c r="Y182" i="1" s="1"/>
  <c r="K184" i="1"/>
  <c r="M183" i="1"/>
  <c r="T183" i="1" s="1"/>
  <c r="Q183" i="1"/>
  <c r="O183" i="1"/>
  <c r="N184" i="1"/>
  <c r="L184" i="1"/>
  <c r="U184" i="1" l="1"/>
  <c r="X183" i="1"/>
  <c r="W182" i="1"/>
  <c r="R183" i="1"/>
  <c r="S183" i="1" s="1"/>
  <c r="V183" i="1"/>
  <c r="Y183" i="1" s="1"/>
  <c r="K185" i="1"/>
  <c r="M184" i="1"/>
  <c r="T184" i="1" s="1"/>
  <c r="Q184" i="1"/>
  <c r="O184" i="1"/>
  <c r="N185" i="1"/>
  <c r="L185" i="1"/>
  <c r="U185" i="1" l="1"/>
  <c r="W183" i="1"/>
  <c r="X184" i="1"/>
  <c r="R184" i="1"/>
  <c r="S184" i="1" s="1"/>
  <c r="V184" i="1"/>
  <c r="Y184" i="1" s="1"/>
  <c r="K186" i="1"/>
  <c r="M185" i="1"/>
  <c r="T185" i="1" s="1"/>
  <c r="Q185" i="1"/>
  <c r="O185" i="1"/>
  <c r="N186" i="1"/>
  <c r="L186" i="1"/>
  <c r="U186" i="1" l="1"/>
  <c r="W184" i="1"/>
  <c r="X185" i="1"/>
  <c r="R185" i="1"/>
  <c r="S185" i="1" s="1"/>
  <c r="V185" i="1"/>
  <c r="Y185" i="1" s="1"/>
  <c r="K187" i="1"/>
  <c r="M186" i="1"/>
  <c r="T186" i="1" s="1"/>
  <c r="Q186" i="1"/>
  <c r="O186" i="1"/>
  <c r="N187" i="1"/>
  <c r="L187" i="1"/>
  <c r="U187" i="1" l="1"/>
  <c r="W185" i="1"/>
  <c r="X186" i="1"/>
  <c r="R186" i="1"/>
  <c r="S186" i="1" s="1"/>
  <c r="V186" i="1"/>
  <c r="Y186" i="1" s="1"/>
  <c r="K188" i="1"/>
  <c r="M187" i="1"/>
  <c r="T187" i="1" s="1"/>
  <c r="Q187" i="1"/>
  <c r="O187" i="1"/>
  <c r="N188" i="1"/>
  <c r="L188" i="1"/>
  <c r="U188" i="1" l="1"/>
  <c r="X187" i="1"/>
  <c r="W186" i="1"/>
  <c r="R187" i="1"/>
  <c r="S187" i="1" s="1"/>
  <c r="V187" i="1"/>
  <c r="Y187" i="1" s="1"/>
  <c r="K189" i="1"/>
  <c r="M188" i="1"/>
  <c r="T188" i="1" s="1"/>
  <c r="Q188" i="1"/>
  <c r="O188" i="1"/>
  <c r="N189" i="1"/>
  <c r="L189" i="1"/>
  <c r="U189" i="1" l="1"/>
  <c r="W187" i="1"/>
  <c r="X188" i="1"/>
  <c r="R188" i="1"/>
  <c r="S188" i="1" s="1"/>
  <c r="V188" i="1"/>
  <c r="Y188" i="1" s="1"/>
  <c r="K190" i="1"/>
  <c r="M189" i="1"/>
  <c r="T189" i="1" s="1"/>
  <c r="Q189" i="1"/>
  <c r="O189" i="1"/>
  <c r="N190" i="1"/>
  <c r="L190" i="1"/>
  <c r="U190" i="1" l="1"/>
  <c r="X189" i="1"/>
  <c r="W188" i="1"/>
  <c r="R189" i="1"/>
  <c r="S189" i="1" s="1"/>
  <c r="V189" i="1"/>
  <c r="Y189" i="1" s="1"/>
  <c r="K191" i="1"/>
  <c r="M190" i="1"/>
  <c r="T190" i="1" s="1"/>
  <c r="Q190" i="1"/>
  <c r="O190" i="1"/>
  <c r="N191" i="1"/>
  <c r="L191" i="1"/>
  <c r="U191" i="1" l="1"/>
  <c r="X190" i="1"/>
  <c r="W189" i="1"/>
  <c r="R190" i="1"/>
  <c r="S190" i="1" s="1"/>
  <c r="V190" i="1"/>
  <c r="Y190" i="1" s="1"/>
  <c r="K192" i="1"/>
  <c r="M191" i="1"/>
  <c r="T191" i="1" s="1"/>
  <c r="Q191" i="1"/>
  <c r="O191" i="1"/>
  <c r="N192" i="1"/>
  <c r="L192" i="1"/>
  <c r="U192" i="1" l="1"/>
  <c r="W190" i="1"/>
  <c r="X191" i="1"/>
  <c r="R191" i="1"/>
  <c r="S191" i="1" s="1"/>
  <c r="V191" i="1"/>
  <c r="Y191" i="1" s="1"/>
  <c r="K193" i="1"/>
  <c r="M192" i="1"/>
  <c r="T192" i="1" s="1"/>
  <c r="Q192" i="1"/>
  <c r="O192" i="1"/>
  <c r="N193" i="1"/>
  <c r="L193" i="1"/>
  <c r="U193" i="1" l="1"/>
  <c r="X192" i="1"/>
  <c r="W191" i="1"/>
  <c r="R192" i="1"/>
  <c r="S192" i="1" s="1"/>
  <c r="V192" i="1"/>
  <c r="Y192" i="1" s="1"/>
  <c r="K194" i="1"/>
  <c r="M193" i="1"/>
  <c r="T193" i="1" s="1"/>
  <c r="Q193" i="1"/>
  <c r="O193" i="1"/>
  <c r="N194" i="1"/>
  <c r="L194" i="1"/>
  <c r="U194" i="1" l="1"/>
  <c r="W192" i="1"/>
  <c r="X193" i="1"/>
  <c r="R193" i="1"/>
  <c r="S193" i="1" s="1"/>
  <c r="V193" i="1"/>
  <c r="Y193" i="1" s="1"/>
  <c r="K195" i="1"/>
  <c r="M194" i="1"/>
  <c r="T194" i="1" s="1"/>
  <c r="Q194" i="1"/>
  <c r="O194" i="1"/>
  <c r="N195" i="1"/>
  <c r="L195" i="1"/>
  <c r="U195" i="1" l="1"/>
  <c r="W193" i="1"/>
  <c r="X194" i="1"/>
  <c r="R194" i="1"/>
  <c r="S194" i="1" s="1"/>
  <c r="V194" i="1"/>
  <c r="Y194" i="1" s="1"/>
  <c r="K196" i="1"/>
  <c r="M195" i="1"/>
  <c r="T195" i="1" s="1"/>
  <c r="Q195" i="1"/>
  <c r="O195" i="1"/>
  <c r="N196" i="1"/>
  <c r="L196" i="1"/>
  <c r="U196" i="1" l="1"/>
  <c r="X195" i="1"/>
  <c r="W194" i="1"/>
  <c r="R195" i="1"/>
  <c r="S195" i="1" s="1"/>
  <c r="V195" i="1"/>
  <c r="Y195" i="1" s="1"/>
  <c r="K197" i="1"/>
  <c r="M196" i="1"/>
  <c r="T196" i="1" s="1"/>
  <c r="Q196" i="1"/>
  <c r="O196" i="1"/>
  <c r="N197" i="1"/>
  <c r="L197" i="1"/>
  <c r="U197" i="1" l="1"/>
  <c r="W195" i="1"/>
  <c r="X196" i="1"/>
  <c r="R196" i="1"/>
  <c r="S196" i="1" s="1"/>
  <c r="V196" i="1"/>
  <c r="Y196" i="1" s="1"/>
  <c r="K198" i="1"/>
  <c r="M197" i="1"/>
  <c r="T197" i="1" s="1"/>
  <c r="Q197" i="1"/>
  <c r="O197" i="1"/>
  <c r="N198" i="1"/>
  <c r="L198" i="1"/>
  <c r="U198" i="1" l="1"/>
  <c r="X197" i="1"/>
  <c r="W196" i="1"/>
  <c r="R197" i="1"/>
  <c r="S197" i="1" s="1"/>
  <c r="V197" i="1"/>
  <c r="Y197" i="1" s="1"/>
  <c r="K199" i="1"/>
  <c r="M198" i="1"/>
  <c r="T198" i="1" s="1"/>
  <c r="Q198" i="1"/>
  <c r="O198" i="1"/>
  <c r="N199" i="1"/>
  <c r="L199" i="1"/>
  <c r="U199" i="1" l="1"/>
  <c r="W197" i="1"/>
  <c r="X198" i="1"/>
  <c r="R198" i="1"/>
  <c r="S198" i="1" s="1"/>
  <c r="V198" i="1"/>
  <c r="Y198" i="1" s="1"/>
  <c r="K200" i="1"/>
  <c r="M199" i="1"/>
  <c r="T199" i="1" s="1"/>
  <c r="Q199" i="1"/>
  <c r="O199" i="1"/>
  <c r="N200" i="1"/>
  <c r="L200" i="1"/>
  <c r="U200" i="1" l="1"/>
  <c r="X199" i="1"/>
  <c r="W198" i="1"/>
  <c r="R199" i="1"/>
  <c r="S199" i="1" s="1"/>
  <c r="V199" i="1"/>
  <c r="Y199" i="1" s="1"/>
  <c r="K201" i="1"/>
  <c r="M200" i="1"/>
  <c r="T200" i="1" s="1"/>
  <c r="Q200" i="1"/>
  <c r="O200" i="1"/>
  <c r="N201" i="1"/>
  <c r="L201" i="1"/>
  <c r="U201" i="1" l="1"/>
  <c r="X200" i="1"/>
  <c r="W199" i="1"/>
  <c r="R200" i="1"/>
  <c r="S200" i="1" s="1"/>
  <c r="V200" i="1"/>
  <c r="Y200" i="1" s="1"/>
  <c r="K202" i="1"/>
  <c r="M201" i="1"/>
  <c r="T201" i="1" s="1"/>
  <c r="Q201" i="1"/>
  <c r="O201" i="1"/>
  <c r="N202" i="1"/>
  <c r="L202" i="1"/>
  <c r="U202" i="1" l="1"/>
  <c r="X201" i="1"/>
  <c r="W200" i="1"/>
  <c r="R201" i="1"/>
  <c r="S201" i="1" s="1"/>
  <c r="V201" i="1"/>
  <c r="Y201" i="1" s="1"/>
  <c r="K203" i="1"/>
  <c r="M202" i="1"/>
  <c r="T202" i="1" s="1"/>
  <c r="Q202" i="1"/>
  <c r="O202" i="1"/>
  <c r="N203" i="1"/>
  <c r="L203" i="1"/>
  <c r="U203" i="1" l="1"/>
  <c r="X202" i="1"/>
  <c r="W201" i="1"/>
  <c r="R202" i="1"/>
  <c r="S202" i="1" s="1"/>
  <c r="V202" i="1"/>
  <c r="Y202" i="1" s="1"/>
  <c r="K204" i="1"/>
  <c r="M203" i="1"/>
  <c r="T203" i="1" s="1"/>
  <c r="Q203" i="1"/>
  <c r="O203" i="1"/>
  <c r="N204" i="1"/>
  <c r="L204" i="1"/>
  <c r="U204" i="1" l="1"/>
  <c r="X203" i="1"/>
  <c r="W202" i="1"/>
  <c r="R203" i="1"/>
  <c r="S203" i="1" s="1"/>
  <c r="V203" i="1"/>
  <c r="Y203" i="1" s="1"/>
  <c r="K205" i="1"/>
  <c r="M204" i="1"/>
  <c r="T204" i="1" s="1"/>
  <c r="Q204" i="1"/>
  <c r="O204" i="1"/>
  <c r="N205" i="1"/>
  <c r="L205" i="1"/>
  <c r="U205" i="1" l="1"/>
  <c r="X204" i="1"/>
  <c r="W203" i="1"/>
  <c r="R204" i="1"/>
  <c r="S204" i="1" s="1"/>
  <c r="V204" i="1"/>
  <c r="Y204" i="1" s="1"/>
  <c r="K206" i="1"/>
  <c r="M205" i="1"/>
  <c r="T205" i="1" s="1"/>
  <c r="Q205" i="1"/>
  <c r="O205" i="1"/>
  <c r="N206" i="1"/>
  <c r="L206" i="1"/>
  <c r="U206" i="1" l="1"/>
  <c r="X205" i="1"/>
  <c r="W204" i="1"/>
  <c r="R205" i="1"/>
  <c r="S205" i="1" s="1"/>
  <c r="V205" i="1"/>
  <c r="Y205" i="1" s="1"/>
  <c r="K207" i="1"/>
  <c r="M206" i="1"/>
  <c r="T206" i="1" s="1"/>
  <c r="Q206" i="1"/>
  <c r="O206" i="1"/>
  <c r="N207" i="1"/>
  <c r="L207" i="1"/>
  <c r="U207" i="1" l="1"/>
  <c r="W205" i="1"/>
  <c r="X206" i="1"/>
  <c r="R206" i="1"/>
  <c r="S206" i="1" s="1"/>
  <c r="V206" i="1"/>
  <c r="Y206" i="1" s="1"/>
  <c r="K208" i="1"/>
  <c r="M207" i="1"/>
  <c r="T207" i="1" s="1"/>
  <c r="Q207" i="1"/>
  <c r="O207" i="1"/>
  <c r="N208" i="1"/>
  <c r="L208" i="1"/>
  <c r="U208" i="1" l="1"/>
  <c r="X207" i="1"/>
  <c r="W206" i="1"/>
  <c r="R207" i="1"/>
  <c r="S207" i="1" s="1"/>
  <c r="V207" i="1"/>
  <c r="Y207" i="1" s="1"/>
  <c r="K209" i="1"/>
  <c r="M208" i="1"/>
  <c r="T208" i="1" s="1"/>
  <c r="Q208" i="1"/>
  <c r="O208" i="1"/>
  <c r="N209" i="1"/>
  <c r="L209" i="1"/>
  <c r="U209" i="1" l="1"/>
  <c r="W207" i="1"/>
  <c r="X208" i="1"/>
  <c r="R208" i="1"/>
  <c r="S208" i="1" s="1"/>
  <c r="V208" i="1"/>
  <c r="Y208" i="1" s="1"/>
  <c r="K210" i="1"/>
  <c r="M209" i="1"/>
  <c r="T209" i="1" s="1"/>
  <c r="Q209" i="1"/>
  <c r="O209" i="1"/>
  <c r="N210" i="1"/>
  <c r="L210" i="1"/>
  <c r="U210" i="1" l="1"/>
  <c r="X209" i="1"/>
  <c r="W208" i="1"/>
  <c r="R209" i="1"/>
  <c r="S209" i="1" s="1"/>
  <c r="V209" i="1"/>
  <c r="Y209" i="1" s="1"/>
  <c r="K211" i="1"/>
  <c r="M210" i="1"/>
  <c r="T210" i="1" s="1"/>
  <c r="Q210" i="1"/>
  <c r="O210" i="1"/>
  <c r="N211" i="1"/>
  <c r="L211" i="1"/>
  <c r="U211" i="1" l="1"/>
  <c r="X210" i="1"/>
  <c r="W209" i="1"/>
  <c r="R210" i="1"/>
  <c r="S210" i="1" s="1"/>
  <c r="V210" i="1"/>
  <c r="Y210" i="1" s="1"/>
  <c r="K212" i="1"/>
  <c r="M211" i="1"/>
  <c r="T211" i="1" s="1"/>
  <c r="Q211" i="1"/>
  <c r="O211" i="1"/>
  <c r="N212" i="1"/>
  <c r="L212" i="1"/>
  <c r="U212" i="1" l="1"/>
  <c r="X211" i="1"/>
  <c r="W210" i="1"/>
  <c r="R211" i="1"/>
  <c r="S211" i="1" s="1"/>
  <c r="V211" i="1"/>
  <c r="Y211" i="1" s="1"/>
  <c r="K213" i="1"/>
  <c r="M212" i="1"/>
  <c r="T212" i="1" s="1"/>
  <c r="Q212" i="1"/>
  <c r="O212" i="1"/>
  <c r="N213" i="1"/>
  <c r="L213" i="1"/>
  <c r="U213" i="1" l="1"/>
  <c r="W211" i="1"/>
  <c r="X212" i="1"/>
  <c r="R212" i="1"/>
  <c r="S212" i="1" s="1"/>
  <c r="V212" i="1"/>
  <c r="Y212" i="1" s="1"/>
  <c r="K214" i="1"/>
  <c r="M213" i="1"/>
  <c r="T213" i="1" s="1"/>
  <c r="Q213" i="1"/>
  <c r="O213" i="1"/>
  <c r="N214" i="1"/>
  <c r="L214" i="1"/>
  <c r="U214" i="1" l="1"/>
  <c r="X213" i="1"/>
  <c r="W212" i="1"/>
  <c r="R213" i="1"/>
  <c r="S213" i="1" s="1"/>
  <c r="V213" i="1"/>
  <c r="Y213" i="1" s="1"/>
  <c r="K215" i="1"/>
  <c r="M214" i="1"/>
  <c r="T214" i="1" s="1"/>
  <c r="Q214" i="1"/>
  <c r="O214" i="1"/>
  <c r="N215" i="1"/>
  <c r="L215" i="1"/>
  <c r="U215" i="1" l="1"/>
  <c r="X214" i="1"/>
  <c r="W213" i="1"/>
  <c r="R214" i="1"/>
  <c r="S214" i="1" s="1"/>
  <c r="V214" i="1"/>
  <c r="Y214" i="1" s="1"/>
  <c r="K216" i="1"/>
  <c r="M215" i="1"/>
  <c r="T215" i="1" s="1"/>
  <c r="Q215" i="1"/>
  <c r="O215" i="1"/>
  <c r="N216" i="1"/>
  <c r="L216" i="1"/>
  <c r="U216" i="1" l="1"/>
  <c r="W214" i="1"/>
  <c r="X215" i="1"/>
  <c r="R215" i="1"/>
  <c r="S215" i="1" s="1"/>
  <c r="V215" i="1"/>
  <c r="Y215" i="1" s="1"/>
  <c r="K217" i="1"/>
  <c r="M216" i="1"/>
  <c r="T216" i="1" s="1"/>
  <c r="Q216" i="1"/>
  <c r="O216" i="1"/>
  <c r="N217" i="1"/>
  <c r="L217" i="1"/>
  <c r="U217" i="1" l="1"/>
  <c r="W215" i="1"/>
  <c r="X216" i="1"/>
  <c r="R216" i="1"/>
  <c r="S216" i="1" s="1"/>
  <c r="V216" i="1"/>
  <c r="Y216" i="1" s="1"/>
  <c r="K218" i="1"/>
  <c r="M217" i="1"/>
  <c r="T217" i="1" s="1"/>
  <c r="Q217" i="1"/>
  <c r="O217" i="1"/>
  <c r="N218" i="1"/>
  <c r="L218" i="1"/>
  <c r="U218" i="1" l="1"/>
  <c r="X217" i="1"/>
  <c r="W216" i="1"/>
  <c r="R217" i="1"/>
  <c r="S217" i="1" s="1"/>
  <c r="V217" i="1"/>
  <c r="Y217" i="1" s="1"/>
  <c r="K219" i="1"/>
  <c r="M218" i="1"/>
  <c r="T218" i="1" s="1"/>
  <c r="Q218" i="1"/>
  <c r="O218" i="1"/>
  <c r="N219" i="1"/>
  <c r="L219" i="1"/>
  <c r="U219" i="1" l="1"/>
  <c r="X218" i="1"/>
  <c r="W217" i="1"/>
  <c r="R218" i="1"/>
  <c r="S218" i="1" s="1"/>
  <c r="V218" i="1"/>
  <c r="Y218" i="1" s="1"/>
  <c r="K220" i="1"/>
  <c r="M219" i="1"/>
  <c r="T219" i="1" s="1"/>
  <c r="Q219" i="1"/>
  <c r="O219" i="1"/>
  <c r="N220" i="1"/>
  <c r="L220" i="1"/>
  <c r="U220" i="1" l="1"/>
  <c r="X219" i="1"/>
  <c r="W218" i="1"/>
  <c r="R219" i="1"/>
  <c r="S219" i="1" s="1"/>
  <c r="V219" i="1"/>
  <c r="Y219" i="1" s="1"/>
  <c r="K221" i="1"/>
  <c r="M220" i="1"/>
  <c r="T220" i="1" s="1"/>
  <c r="Q220" i="1"/>
  <c r="O220" i="1"/>
  <c r="N221" i="1"/>
  <c r="L221" i="1"/>
  <c r="U221" i="1" l="1"/>
  <c r="W219" i="1"/>
  <c r="X220" i="1"/>
  <c r="R220" i="1"/>
  <c r="S220" i="1" s="1"/>
  <c r="V220" i="1"/>
  <c r="Y220" i="1" s="1"/>
  <c r="K222" i="1"/>
  <c r="M221" i="1"/>
  <c r="T221" i="1" s="1"/>
  <c r="Q221" i="1"/>
  <c r="O221" i="1"/>
  <c r="N222" i="1"/>
  <c r="L222" i="1"/>
  <c r="U222" i="1" l="1"/>
  <c r="X221" i="1"/>
  <c r="W220" i="1"/>
  <c r="R221" i="1"/>
  <c r="S221" i="1" s="1"/>
  <c r="V221" i="1"/>
  <c r="Y221" i="1" s="1"/>
  <c r="K223" i="1"/>
  <c r="M222" i="1"/>
  <c r="T222" i="1" s="1"/>
  <c r="Q222" i="1"/>
  <c r="O222" i="1"/>
  <c r="N223" i="1"/>
  <c r="L223" i="1"/>
  <c r="U223" i="1" l="1"/>
  <c r="X222" i="1"/>
  <c r="W221" i="1"/>
  <c r="R222" i="1"/>
  <c r="S222" i="1" s="1"/>
  <c r="V222" i="1"/>
  <c r="Y222" i="1" s="1"/>
  <c r="K224" i="1"/>
  <c r="M223" i="1"/>
  <c r="T223" i="1" s="1"/>
  <c r="Q223" i="1"/>
  <c r="O223" i="1"/>
  <c r="N224" i="1"/>
  <c r="L224" i="1"/>
  <c r="U224" i="1" l="1"/>
  <c r="X223" i="1"/>
  <c r="W222" i="1"/>
  <c r="R223" i="1"/>
  <c r="S223" i="1" s="1"/>
  <c r="V223" i="1"/>
  <c r="Y223" i="1" s="1"/>
  <c r="K225" i="1"/>
  <c r="M224" i="1"/>
  <c r="T224" i="1" s="1"/>
  <c r="Q224" i="1"/>
  <c r="O224" i="1"/>
  <c r="N225" i="1"/>
  <c r="L225" i="1"/>
  <c r="U225" i="1" l="1"/>
  <c r="X224" i="1"/>
  <c r="W223" i="1"/>
  <c r="R224" i="1"/>
  <c r="S224" i="1" s="1"/>
  <c r="V224" i="1"/>
  <c r="Y224" i="1" s="1"/>
  <c r="K226" i="1"/>
  <c r="M225" i="1"/>
  <c r="T225" i="1" s="1"/>
  <c r="Q225" i="1"/>
  <c r="O225" i="1"/>
  <c r="N226" i="1"/>
  <c r="L226" i="1"/>
  <c r="U226" i="1" l="1"/>
  <c r="X225" i="1"/>
  <c r="W224" i="1"/>
  <c r="R225" i="1"/>
  <c r="S225" i="1" s="1"/>
  <c r="V225" i="1"/>
  <c r="Y225" i="1" s="1"/>
  <c r="K227" i="1"/>
  <c r="M226" i="1"/>
  <c r="T226" i="1" s="1"/>
  <c r="Q226" i="1"/>
  <c r="O226" i="1"/>
  <c r="N227" i="1"/>
  <c r="L227" i="1"/>
  <c r="U227" i="1" l="1"/>
  <c r="X226" i="1"/>
  <c r="W225" i="1"/>
  <c r="R226" i="1"/>
  <c r="S226" i="1" s="1"/>
  <c r="V226" i="1"/>
  <c r="Y226" i="1" s="1"/>
  <c r="K228" i="1"/>
  <c r="M227" i="1"/>
  <c r="T227" i="1" s="1"/>
  <c r="Q227" i="1"/>
  <c r="O227" i="1"/>
  <c r="N228" i="1"/>
  <c r="L228" i="1"/>
  <c r="U228" i="1" l="1"/>
  <c r="X227" i="1"/>
  <c r="W226" i="1"/>
  <c r="R227" i="1"/>
  <c r="S227" i="1" s="1"/>
  <c r="V227" i="1"/>
  <c r="Y227" i="1" s="1"/>
  <c r="K229" i="1"/>
  <c r="M228" i="1"/>
  <c r="T228" i="1" s="1"/>
  <c r="Q228" i="1"/>
  <c r="O228" i="1"/>
  <c r="N229" i="1"/>
  <c r="L229" i="1"/>
  <c r="U229" i="1" l="1"/>
  <c r="W227" i="1"/>
  <c r="X228" i="1"/>
  <c r="R228" i="1"/>
  <c r="S228" i="1" s="1"/>
  <c r="V228" i="1"/>
  <c r="Y228" i="1" s="1"/>
  <c r="K230" i="1"/>
  <c r="M229" i="1"/>
  <c r="T229" i="1" s="1"/>
  <c r="Q229" i="1"/>
  <c r="O229" i="1"/>
  <c r="N230" i="1"/>
  <c r="L230" i="1"/>
  <c r="U230" i="1" l="1"/>
  <c r="X229" i="1"/>
  <c r="W228" i="1"/>
  <c r="R229" i="1"/>
  <c r="S229" i="1" s="1"/>
  <c r="V229" i="1"/>
  <c r="Y229" i="1" s="1"/>
  <c r="K231" i="1"/>
  <c r="M230" i="1"/>
  <c r="T230" i="1" s="1"/>
  <c r="Q230" i="1"/>
  <c r="O230" i="1"/>
  <c r="N231" i="1"/>
  <c r="L231" i="1"/>
  <c r="U231" i="1" l="1"/>
  <c r="X230" i="1"/>
  <c r="W229" i="1"/>
  <c r="R230" i="1"/>
  <c r="S230" i="1" s="1"/>
  <c r="V230" i="1"/>
  <c r="Y230" i="1" s="1"/>
  <c r="K232" i="1"/>
  <c r="M231" i="1"/>
  <c r="T231" i="1" s="1"/>
  <c r="Q231" i="1"/>
  <c r="O231" i="1"/>
  <c r="N232" i="1"/>
  <c r="L232" i="1"/>
  <c r="U232" i="1" l="1"/>
  <c r="W230" i="1"/>
  <c r="X231" i="1"/>
  <c r="R231" i="1"/>
  <c r="S231" i="1" s="1"/>
  <c r="V231" i="1"/>
  <c r="Y231" i="1" s="1"/>
  <c r="K233" i="1"/>
  <c r="M232" i="1"/>
  <c r="T232" i="1" s="1"/>
  <c r="Q232" i="1"/>
  <c r="O232" i="1"/>
  <c r="N233" i="1"/>
  <c r="L233" i="1"/>
  <c r="U233" i="1" l="1"/>
  <c r="X232" i="1"/>
  <c r="W231" i="1"/>
  <c r="R232" i="1"/>
  <c r="S232" i="1" s="1"/>
  <c r="V232" i="1"/>
  <c r="Y232" i="1" s="1"/>
  <c r="K234" i="1"/>
  <c r="M233" i="1"/>
  <c r="T233" i="1" s="1"/>
  <c r="Q233" i="1"/>
  <c r="O233" i="1"/>
  <c r="N234" i="1"/>
  <c r="L234" i="1"/>
  <c r="U234" i="1" l="1"/>
  <c r="W232" i="1"/>
  <c r="X233" i="1"/>
  <c r="R233" i="1"/>
  <c r="S233" i="1" s="1"/>
  <c r="V233" i="1"/>
  <c r="Y233" i="1" s="1"/>
  <c r="K235" i="1"/>
  <c r="M234" i="1"/>
  <c r="T234" i="1" s="1"/>
  <c r="Q234" i="1"/>
  <c r="O234" i="1"/>
  <c r="N235" i="1"/>
  <c r="L235" i="1"/>
  <c r="U235" i="1" l="1"/>
  <c r="X234" i="1"/>
  <c r="W233" i="1"/>
  <c r="R234" i="1"/>
  <c r="S234" i="1" s="1"/>
  <c r="V234" i="1"/>
  <c r="Y234" i="1" s="1"/>
  <c r="K236" i="1"/>
  <c r="M235" i="1"/>
  <c r="T235" i="1" s="1"/>
  <c r="Q235" i="1"/>
  <c r="O235" i="1"/>
  <c r="N236" i="1"/>
  <c r="L236" i="1"/>
  <c r="U236" i="1" l="1"/>
  <c r="X235" i="1"/>
  <c r="W234" i="1"/>
  <c r="R235" i="1"/>
  <c r="S235" i="1" s="1"/>
  <c r="V235" i="1"/>
  <c r="Y235" i="1" s="1"/>
  <c r="K237" i="1"/>
  <c r="M236" i="1"/>
  <c r="T236" i="1" s="1"/>
  <c r="Q236" i="1"/>
  <c r="O236" i="1"/>
  <c r="N237" i="1"/>
  <c r="L237" i="1"/>
  <c r="U237" i="1" l="1"/>
  <c r="X236" i="1"/>
  <c r="W235" i="1"/>
  <c r="R236" i="1"/>
  <c r="S236" i="1" s="1"/>
  <c r="V236" i="1"/>
  <c r="Y236" i="1" s="1"/>
  <c r="K238" i="1"/>
  <c r="M237" i="1"/>
  <c r="T237" i="1" s="1"/>
  <c r="Q237" i="1"/>
  <c r="O237" i="1"/>
  <c r="N238" i="1"/>
  <c r="L238" i="1"/>
  <c r="U238" i="1" l="1"/>
  <c r="W236" i="1"/>
  <c r="X237" i="1"/>
  <c r="R237" i="1"/>
  <c r="S237" i="1" s="1"/>
  <c r="V237" i="1"/>
  <c r="Y237" i="1" s="1"/>
  <c r="K239" i="1"/>
  <c r="M238" i="1"/>
  <c r="T238" i="1" s="1"/>
  <c r="Q238" i="1"/>
  <c r="O238" i="1"/>
  <c r="N239" i="1"/>
  <c r="L239" i="1"/>
  <c r="U239" i="1" l="1"/>
  <c r="W237" i="1"/>
  <c r="X238" i="1"/>
  <c r="R238" i="1"/>
  <c r="S238" i="1" s="1"/>
  <c r="V238" i="1"/>
  <c r="Y238" i="1" s="1"/>
  <c r="K240" i="1"/>
  <c r="M239" i="1"/>
  <c r="T239" i="1" s="1"/>
  <c r="Q239" i="1"/>
  <c r="O239" i="1"/>
  <c r="N240" i="1"/>
  <c r="L240" i="1"/>
  <c r="U240" i="1" l="1"/>
  <c r="X239" i="1"/>
  <c r="W238" i="1"/>
  <c r="R239" i="1"/>
  <c r="S239" i="1" s="1"/>
  <c r="V239" i="1"/>
  <c r="Y239" i="1" s="1"/>
  <c r="K241" i="1"/>
  <c r="M240" i="1"/>
  <c r="T240" i="1" s="1"/>
  <c r="Q240" i="1"/>
  <c r="O240" i="1"/>
  <c r="N241" i="1"/>
  <c r="L241" i="1"/>
  <c r="U241" i="1" l="1"/>
  <c r="X240" i="1"/>
  <c r="W239" i="1"/>
  <c r="R240" i="1"/>
  <c r="S240" i="1" s="1"/>
  <c r="V240" i="1"/>
  <c r="Y240" i="1" s="1"/>
  <c r="K242" i="1"/>
  <c r="M241" i="1"/>
  <c r="T241" i="1" s="1"/>
  <c r="Q241" i="1"/>
  <c r="O241" i="1"/>
  <c r="N242" i="1"/>
  <c r="L242" i="1"/>
  <c r="U242" i="1" l="1"/>
  <c r="W240" i="1"/>
  <c r="X241" i="1"/>
  <c r="R241" i="1"/>
  <c r="S241" i="1" s="1"/>
  <c r="V241" i="1"/>
  <c r="Y241" i="1" s="1"/>
  <c r="K243" i="1"/>
  <c r="M242" i="1"/>
  <c r="T242" i="1" s="1"/>
  <c r="Q242" i="1"/>
  <c r="O242" i="1"/>
  <c r="N243" i="1"/>
  <c r="L243" i="1"/>
  <c r="U243" i="1" l="1"/>
  <c r="W241" i="1"/>
  <c r="X242" i="1"/>
  <c r="R242" i="1"/>
  <c r="S242" i="1" s="1"/>
  <c r="V242" i="1"/>
  <c r="Y242" i="1" s="1"/>
  <c r="K244" i="1"/>
  <c r="M243" i="1"/>
  <c r="T243" i="1" s="1"/>
  <c r="Q243" i="1"/>
  <c r="O243" i="1"/>
  <c r="N244" i="1"/>
  <c r="L244" i="1"/>
  <c r="U244" i="1" l="1"/>
  <c r="X243" i="1"/>
  <c r="W242" i="1"/>
  <c r="R243" i="1"/>
  <c r="S243" i="1" s="1"/>
  <c r="V243" i="1"/>
  <c r="Y243" i="1" s="1"/>
  <c r="K245" i="1"/>
  <c r="M244" i="1"/>
  <c r="T244" i="1" s="1"/>
  <c r="Q244" i="1"/>
  <c r="O244" i="1"/>
  <c r="N245" i="1"/>
  <c r="L245" i="1"/>
  <c r="U245" i="1" l="1"/>
  <c r="X244" i="1"/>
  <c r="W243" i="1"/>
  <c r="R244" i="1"/>
  <c r="S244" i="1" s="1"/>
  <c r="V244" i="1"/>
  <c r="Y244" i="1" s="1"/>
  <c r="K246" i="1"/>
  <c r="M245" i="1"/>
  <c r="T245" i="1" s="1"/>
  <c r="Q245" i="1"/>
  <c r="O245" i="1"/>
  <c r="N246" i="1"/>
  <c r="L246" i="1"/>
  <c r="U246" i="1" l="1"/>
  <c r="W244" i="1"/>
  <c r="X245" i="1"/>
  <c r="R245" i="1"/>
  <c r="S245" i="1" s="1"/>
  <c r="V245" i="1"/>
  <c r="Y245" i="1" s="1"/>
  <c r="K247" i="1"/>
  <c r="M246" i="1"/>
  <c r="T246" i="1" s="1"/>
  <c r="Q246" i="1"/>
  <c r="O246" i="1"/>
  <c r="N247" i="1"/>
  <c r="L247" i="1"/>
  <c r="U247" i="1" l="1"/>
  <c r="W245" i="1"/>
  <c r="X246" i="1"/>
  <c r="R246" i="1"/>
  <c r="S246" i="1" s="1"/>
  <c r="V246" i="1"/>
  <c r="Y246" i="1" s="1"/>
  <c r="K248" i="1"/>
  <c r="M247" i="1"/>
  <c r="T247" i="1" s="1"/>
  <c r="Q247" i="1"/>
  <c r="O247" i="1"/>
  <c r="N248" i="1"/>
  <c r="L248" i="1"/>
  <c r="U248" i="1" l="1"/>
  <c r="X247" i="1"/>
  <c r="W246" i="1"/>
  <c r="R247" i="1"/>
  <c r="S247" i="1" s="1"/>
  <c r="V247" i="1"/>
  <c r="Y247" i="1" s="1"/>
  <c r="K249" i="1"/>
  <c r="M248" i="1"/>
  <c r="T248" i="1" s="1"/>
  <c r="Q248" i="1"/>
  <c r="O248" i="1"/>
  <c r="N249" i="1"/>
  <c r="L249" i="1"/>
  <c r="U249" i="1" l="1"/>
  <c r="W247" i="1"/>
  <c r="X248" i="1"/>
  <c r="R248" i="1"/>
  <c r="S248" i="1" s="1"/>
  <c r="V248" i="1"/>
  <c r="Y248" i="1" s="1"/>
  <c r="K250" i="1"/>
  <c r="M249" i="1"/>
  <c r="T249" i="1" s="1"/>
  <c r="Q249" i="1"/>
  <c r="O249" i="1"/>
  <c r="N250" i="1"/>
  <c r="L250" i="1"/>
  <c r="U250" i="1" l="1"/>
  <c r="X249" i="1"/>
  <c r="W248" i="1"/>
  <c r="R249" i="1"/>
  <c r="S249" i="1" s="1"/>
  <c r="V249" i="1"/>
  <c r="Y249" i="1" s="1"/>
  <c r="K251" i="1"/>
  <c r="M250" i="1"/>
  <c r="T250" i="1" s="1"/>
  <c r="Q250" i="1"/>
  <c r="O250" i="1"/>
  <c r="N251" i="1"/>
  <c r="L251" i="1"/>
  <c r="U251" i="1" l="1"/>
  <c r="X250" i="1"/>
  <c r="W249" i="1"/>
  <c r="R250" i="1"/>
  <c r="S250" i="1" s="1"/>
  <c r="V250" i="1"/>
  <c r="Y250" i="1" s="1"/>
  <c r="K252" i="1"/>
  <c r="M251" i="1"/>
  <c r="T251" i="1" s="1"/>
  <c r="Q251" i="1"/>
  <c r="O251" i="1"/>
  <c r="N252" i="1"/>
  <c r="L252" i="1"/>
  <c r="U252" i="1" l="1"/>
  <c r="X251" i="1"/>
  <c r="W250" i="1"/>
  <c r="R251" i="1"/>
  <c r="S251" i="1" s="1"/>
  <c r="V251" i="1"/>
  <c r="Y251" i="1" s="1"/>
  <c r="K253" i="1"/>
  <c r="M252" i="1"/>
  <c r="T252" i="1" s="1"/>
  <c r="Q252" i="1"/>
  <c r="O252" i="1"/>
  <c r="N253" i="1"/>
  <c r="L253" i="1"/>
  <c r="U253" i="1" l="1"/>
  <c r="X252" i="1"/>
  <c r="W251" i="1"/>
  <c r="R252" i="1"/>
  <c r="S252" i="1" s="1"/>
  <c r="V252" i="1"/>
  <c r="Y252" i="1" s="1"/>
  <c r="K254" i="1"/>
  <c r="M253" i="1"/>
  <c r="T253" i="1" s="1"/>
  <c r="Q253" i="1"/>
  <c r="O253" i="1"/>
  <c r="N254" i="1"/>
  <c r="L254" i="1"/>
  <c r="U254" i="1" l="1"/>
  <c r="X253" i="1"/>
  <c r="W252" i="1"/>
  <c r="R253" i="1"/>
  <c r="S253" i="1" s="1"/>
  <c r="V253" i="1"/>
  <c r="Y253" i="1" s="1"/>
  <c r="K255" i="1"/>
  <c r="N255" i="1" s="1"/>
  <c r="M254" i="1"/>
  <c r="T254" i="1" s="1"/>
  <c r="Q254" i="1"/>
  <c r="O254" i="1"/>
  <c r="Q255" i="1" l="1"/>
  <c r="U255" i="1"/>
  <c r="X254" i="1"/>
  <c r="W253" i="1"/>
  <c r="R254" i="1"/>
  <c r="S254" i="1" s="1"/>
  <c r="V254" i="1"/>
  <c r="Y254" i="1" s="1"/>
  <c r="L255" i="1"/>
  <c r="M255" i="1" s="1"/>
  <c r="T255" i="1" s="1"/>
  <c r="C33" i="1"/>
  <c r="O255" i="1"/>
  <c r="W254" i="1" l="1"/>
  <c r="R255" i="1"/>
  <c r="S255" i="1" s="1"/>
  <c r="V255" i="1"/>
  <c r="Y255" i="1" s="1"/>
  <c r="C30" i="1" s="1"/>
  <c r="X255" i="1"/>
  <c r="C31" i="1" s="1"/>
  <c r="W255" i="1" l="1"/>
  <c r="C32" i="1"/>
</calcChain>
</file>

<file path=xl/sharedStrings.xml><?xml version="1.0" encoding="utf-8"?>
<sst xmlns="http://schemas.openxmlformats.org/spreadsheetml/2006/main" count="49" uniqueCount="47">
  <si>
    <t>Spot</t>
  </si>
  <si>
    <t>sigma</t>
  </si>
  <si>
    <t>r</t>
  </si>
  <si>
    <t>q</t>
  </si>
  <si>
    <t>Strike</t>
  </si>
  <si>
    <t>Time to Maturity</t>
  </si>
  <si>
    <t>Price</t>
  </si>
  <si>
    <t>Option Type</t>
  </si>
  <si>
    <t>Put</t>
  </si>
  <si>
    <t>Side</t>
  </si>
  <si>
    <t>Short</t>
  </si>
  <si>
    <t>Premium</t>
  </si>
  <si>
    <t>ATM Option Specification</t>
  </si>
  <si>
    <t>Moneyness</t>
  </si>
  <si>
    <t>Future Contract Specification</t>
  </si>
  <si>
    <t>Multiplier</t>
  </si>
  <si>
    <t># Contract</t>
  </si>
  <si>
    <t>Delta / Contract</t>
  </si>
  <si>
    <t># Future Contract</t>
  </si>
  <si>
    <t>Future Delta per Contract</t>
  </si>
  <si>
    <t>Total Option Delta</t>
  </si>
  <si>
    <t>Trade</t>
  </si>
  <si>
    <t>Margin %</t>
  </si>
  <si>
    <t>Unit Option Price</t>
  </si>
  <si>
    <t>Total Option Value</t>
  </si>
  <si>
    <t>Unit Future Price</t>
  </si>
  <si>
    <t>Days</t>
  </si>
  <si>
    <t>T</t>
  </si>
  <si>
    <t>Real Return</t>
  </si>
  <si>
    <t>BM Price</t>
  </si>
  <si>
    <t>Model Setup</t>
  </si>
  <si>
    <t>Price Mode</t>
  </si>
  <si>
    <t>BM Theoretical</t>
  </si>
  <si>
    <t>BM Return</t>
  </si>
  <si>
    <t>Monitor</t>
  </si>
  <si>
    <t>Realized Volatility</t>
  </si>
  <si>
    <t>Daily Option PnL</t>
  </si>
  <si>
    <t>Daily Future PnL</t>
  </si>
  <si>
    <t>Position</t>
  </si>
  <si>
    <t xml:space="preserve">Future Account </t>
  </si>
  <si>
    <t>Option Account</t>
  </si>
  <si>
    <t>Option Account End</t>
  </si>
  <si>
    <t>Exercised?</t>
  </si>
  <si>
    <t>Gain/Loss?</t>
  </si>
  <si>
    <t>Future Account Gain/Loss</t>
  </si>
  <si>
    <t>Net Daily PnL</t>
  </si>
  <si>
    <t>Option PnL Expected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</si>
</sst>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0" formatCode="0.000"/>
    <numFmt numFmtId="173" formatCode="#,##0.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Font="1" applyFill="1" applyBorder="1" applyAlignment="1">
      <alignment horizontal="left" indent="1"/>
    </xf>
    <xf numFmtId="0" fontId="4" fillId="0" borderId="2" xfId="0" applyFont="1" applyFill="1" applyBorder="1" applyAlignment="1">
      <alignment horizontal="right" indent="1"/>
    </xf>
    <xf numFmtId="9" fontId="4" fillId="0" borderId="2" xfId="0" applyNumberFormat="1" applyFont="1" applyFill="1" applyBorder="1" applyAlignment="1">
      <alignment horizontal="right" indent="1"/>
    </xf>
    <xf numFmtId="10" fontId="4" fillId="0" borderId="2" xfId="0" applyNumberFormat="1" applyFont="1" applyFill="1" applyBorder="1" applyAlignment="1">
      <alignment horizontal="right" indent="1"/>
    </xf>
    <xf numFmtId="0" fontId="0" fillId="0" borderId="0" xfId="0" applyAlignment="1">
      <alignment horizontal="right"/>
    </xf>
    <xf numFmtId="4" fontId="0" fillId="0" borderId="0" xfId="1" applyNumberFormat="1" applyFont="1"/>
    <xf numFmtId="10" fontId="0" fillId="0" borderId="0" xfId="1" applyNumberFormat="1" applyFont="1"/>
    <xf numFmtId="10" fontId="0" fillId="0" borderId="0" xfId="1" applyNumberFormat="1" applyFont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indent="1"/>
    </xf>
    <xf numFmtId="0" fontId="4" fillId="0" borderId="6" xfId="0" applyFont="1" applyFill="1" applyBorder="1" applyAlignment="1">
      <alignment horizontal="right" inden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left" indent="1"/>
    </xf>
    <xf numFmtId="4" fontId="0" fillId="0" borderId="0" xfId="0" applyNumberFormat="1"/>
    <xf numFmtId="0" fontId="0" fillId="0" borderId="0" xfId="0" applyAlignment="1">
      <alignment horizontal="center"/>
    </xf>
    <xf numFmtId="173" fontId="0" fillId="0" borderId="0" xfId="0" applyNumberFormat="1"/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right"/>
    </xf>
    <xf numFmtId="3" fontId="0" fillId="0" borderId="0" xfId="0" applyNumberFormat="1"/>
    <xf numFmtId="4" fontId="0" fillId="0" borderId="2" xfId="0" applyNumberFormat="1" applyBorder="1"/>
    <xf numFmtId="9" fontId="0" fillId="0" borderId="4" xfId="0" applyNumberFormat="1" applyBorder="1"/>
    <xf numFmtId="4" fontId="0" fillId="0" borderId="0" xfId="1" applyNumberFormat="1" applyFont="1" applyAlignment="1">
      <alignment horizontal="right"/>
    </xf>
    <xf numFmtId="10" fontId="4" fillId="0" borderId="4" xfId="0" applyNumberFormat="1" applyFont="1" applyFill="1" applyBorder="1" applyAlignment="1">
      <alignment horizontal="right" indent="1"/>
    </xf>
    <xf numFmtId="3" fontId="0" fillId="0" borderId="4" xfId="0" applyNumberFormat="1" applyBorder="1"/>
    <xf numFmtId="9" fontId="0" fillId="0" borderId="0" xfId="1" applyFont="1" applyAlignment="1">
      <alignment horizontal="right"/>
    </xf>
    <xf numFmtId="170" fontId="0" fillId="0" borderId="2" xfId="0" applyNumberFormat="1" applyBorder="1"/>
    <xf numFmtId="4" fontId="3" fillId="0" borderId="0" xfId="0" applyNumberFormat="1" applyFont="1"/>
    <xf numFmtId="0" fontId="3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B255"/>
  <sheetViews>
    <sheetView tabSelected="1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C38" sqref="C38"/>
    </sheetView>
  </sheetViews>
  <sheetFormatPr defaultRowHeight="15" x14ac:dyDescent="0.25"/>
  <cols>
    <col min="2" max="2" width="23.85546875" bestFit="1" customWidth="1"/>
    <col min="3" max="3" width="15.85546875" bestFit="1" customWidth="1"/>
    <col min="6" max="6" width="9.140625" style="18"/>
    <col min="8" max="8" width="11.28515625" style="5" bestFit="1" customWidth="1"/>
    <col min="9" max="10" width="11.28515625" style="5" customWidth="1"/>
    <col min="11" max="11" width="9.140625" style="5"/>
    <col min="12" max="12" width="16.28515625" style="5" bestFit="1" customWidth="1"/>
    <col min="13" max="13" width="17.85546875" style="5" bestFit="1" customWidth="1"/>
    <col min="14" max="14" width="17.42578125" bestFit="1" customWidth="1"/>
    <col min="15" max="15" width="17.42578125" customWidth="1"/>
    <col min="16" max="16" width="23.7109375" bestFit="1" customWidth="1"/>
    <col min="17" max="17" width="18.140625" customWidth="1"/>
    <col min="18" max="19" width="10.42578125" customWidth="1"/>
    <col min="20" max="20" width="17.5703125" bestFit="1" customWidth="1"/>
    <col min="21" max="21" width="19.5703125" bestFit="1" customWidth="1"/>
    <col min="22" max="24" width="17.5703125" customWidth="1"/>
    <col min="25" max="25" width="23.5703125" bestFit="1" customWidth="1"/>
    <col min="26" max="26" width="10.85546875" bestFit="1" customWidth="1"/>
    <col min="27" max="27" width="9.28515625" bestFit="1" customWidth="1"/>
  </cols>
  <sheetData>
    <row r="1" spans="2:28" ht="15.75" thickBot="1" x14ac:dyDescent="0.3">
      <c r="K1" s="20"/>
      <c r="L1" s="20"/>
      <c r="M1" s="30"/>
      <c r="N1" s="24"/>
    </row>
    <row r="2" spans="2:28" ht="15.75" thickBot="1" x14ac:dyDescent="0.3">
      <c r="B2" s="9" t="s">
        <v>12</v>
      </c>
      <c r="C2" s="10"/>
      <c r="F2" s="22" t="s">
        <v>26</v>
      </c>
      <c r="G2" s="23" t="s">
        <v>27</v>
      </c>
      <c r="H2" s="23" t="s">
        <v>28</v>
      </c>
      <c r="I2" s="23" t="s">
        <v>33</v>
      </c>
      <c r="J2" s="23" t="s">
        <v>29</v>
      </c>
      <c r="K2" s="23" t="s">
        <v>6</v>
      </c>
      <c r="L2" s="23" t="s">
        <v>23</v>
      </c>
      <c r="M2" s="23" t="s">
        <v>24</v>
      </c>
      <c r="N2" s="23" t="s">
        <v>20</v>
      </c>
      <c r="O2" s="23" t="s">
        <v>25</v>
      </c>
      <c r="P2" s="23" t="s">
        <v>19</v>
      </c>
      <c r="Q2" s="23" t="s">
        <v>18</v>
      </c>
      <c r="R2" s="23" t="s">
        <v>21</v>
      </c>
      <c r="S2" s="23" t="s">
        <v>38</v>
      </c>
      <c r="T2" s="23" t="s">
        <v>36</v>
      </c>
      <c r="U2" s="23" t="s">
        <v>46</v>
      </c>
      <c r="V2" s="23" t="s">
        <v>37</v>
      </c>
      <c r="W2" s="23" t="s">
        <v>45</v>
      </c>
      <c r="X2" s="23" t="s">
        <v>40</v>
      </c>
      <c r="Y2" s="23" t="s">
        <v>39</v>
      </c>
    </row>
    <row r="3" spans="2:28" x14ac:dyDescent="0.25">
      <c r="B3" s="11" t="s">
        <v>7</v>
      </c>
      <c r="C3" s="12" t="s">
        <v>8</v>
      </c>
      <c r="F3" s="18">
        <v>0</v>
      </c>
      <c r="G3">
        <f>F3/252</f>
        <v>0</v>
      </c>
      <c r="J3" s="20">
        <f>Strike/moneyness</f>
        <v>115</v>
      </c>
      <c r="K3" s="20">
        <f>Strike/moneyness</f>
        <v>115</v>
      </c>
      <c r="L3" s="20">
        <f>BlackScholes(OptType,"Price",K3,Strike,time-G3,0,sigma,interestRate,dividend)</f>
        <v>9.1604025737166666</v>
      </c>
      <c r="M3" s="21">
        <f>L3*units*optMult*IF(Side="Short",-1,1)</f>
        <v>-91604.025737166667</v>
      </c>
      <c r="N3" s="6">
        <f>BlackScholes(OptType,"Delta",K3,Strike,time-G3,0,sigma,interestRate,dividend)*IF(Side="Short",-1,1)*units*optMult</f>
        <v>4601.7216272297101</v>
      </c>
      <c r="O3" s="6">
        <f>K3*EXP((interestRate-dividend)*(time-G3))</f>
        <v>115</v>
      </c>
      <c r="P3" s="19">
        <f>EXP((interestRate-dividend)*(time-G3))*futMult</f>
        <v>250</v>
      </c>
      <c r="Q3">
        <f>-N3/P3</f>
        <v>-18.406886508918841</v>
      </c>
      <c r="R3" s="32">
        <f>Q3</f>
        <v>-18.406886508918841</v>
      </c>
      <c r="S3" s="17">
        <f>R3</f>
        <v>-18.406886508918841</v>
      </c>
      <c r="T3" s="24"/>
      <c r="U3" s="24"/>
      <c r="V3" s="24"/>
      <c r="W3" s="24"/>
      <c r="X3" s="24">
        <f>cost</f>
        <v>91604.025737166667</v>
      </c>
      <c r="Y3" s="24">
        <v>0</v>
      </c>
    </row>
    <row r="4" spans="2:28" x14ac:dyDescent="0.25">
      <c r="B4" s="1" t="s">
        <v>9</v>
      </c>
      <c r="C4" s="2" t="s">
        <v>10</v>
      </c>
      <c r="F4" s="18">
        <v>1</v>
      </c>
      <c r="G4">
        <f t="shared" ref="G4:G67" si="0">F4/252</f>
        <v>3.968253968253968E-3</v>
      </c>
      <c r="H4" s="8">
        <v>-2.2868190903659276E-2</v>
      </c>
      <c r="I4" s="8">
        <f ca="1">(interestRate-dividend-0.5*sigma^2)*1/252+sigma*SQRT(1/252)*_xlfn.NORM.S.INV(RAND())</f>
        <v>-4.5568087085282013E-3</v>
      </c>
      <c r="J4" s="27">
        <f ca="1">J3*EXP(I4)</f>
        <v>114.47715914610802</v>
      </c>
      <c r="K4" s="20">
        <f ca="1">IF($C$25="BM Theoretical",J4,K3*EXP(H4))</f>
        <v>114.47715914610802</v>
      </c>
      <c r="L4" s="20">
        <f ca="1">BlackScholes(OptType,"Price",K4,Strike,time-G4,0,sigma,interestRate,dividend)</f>
        <v>9.3852764986136155</v>
      </c>
      <c r="M4" s="21">
        <f ca="1">L4*units*optMult*IF(Side="Short",-1,1)</f>
        <v>-93852.764986136157</v>
      </c>
      <c r="N4" s="6">
        <f ca="1">BlackScholes(OptType,"Delta",K4,Strike,time-G4,0,sigma,interestRate,dividend)*IF(Side="Short",-1,1)*units*optMult</f>
        <v>4693.229077845026</v>
      </c>
      <c r="O4" s="6">
        <f ca="1">K4*EXP((interestRate-dividend)*(time-G4))</f>
        <v>114.47715914610802</v>
      </c>
      <c r="P4" s="19">
        <f>EXP((interestRate-dividend)*(time-G4))*futMult</f>
        <v>250</v>
      </c>
      <c r="Q4">
        <f t="shared" ref="Q4:Q67" ca="1" si="1">-N4/P4</f>
        <v>-18.772916311380104</v>
      </c>
      <c r="R4" s="32">
        <f ca="1">Q4-Q3</f>
        <v>-0.36602980246126293</v>
      </c>
      <c r="S4" s="17">
        <f ca="1">S3+R4</f>
        <v>-18.772916311380104</v>
      </c>
      <c r="T4" s="24">
        <f ca="1">M4-M3</f>
        <v>-2248.7392489694903</v>
      </c>
      <c r="U4" s="24">
        <f ca="1">N3*(K4-K3)</f>
        <v>-2405.9680649539641</v>
      </c>
      <c r="V4" s="24">
        <f ca="1">S3*(O4-O3)*futMult</f>
        <v>2405.9680649539641</v>
      </c>
      <c r="W4" s="24">
        <f ca="1">T4+V4</f>
        <v>157.22881598447384</v>
      </c>
      <c r="X4" s="24">
        <f ca="1">X3+T4</f>
        <v>89355.286488197176</v>
      </c>
      <c r="Y4" s="24">
        <f ca="1">Y3+V4</f>
        <v>2405.9680649539641</v>
      </c>
      <c r="Z4" s="24"/>
      <c r="AA4" s="24"/>
      <c r="AB4" s="24"/>
    </row>
    <row r="5" spans="2:28" x14ac:dyDescent="0.25">
      <c r="B5" s="1" t="s">
        <v>4</v>
      </c>
      <c r="C5" s="2">
        <v>115</v>
      </c>
      <c r="F5" s="18">
        <f t="shared" ref="F5:F68" si="2">F4+1</f>
        <v>2</v>
      </c>
      <c r="G5">
        <f t="shared" si="0"/>
        <v>7.9365079365079361E-3</v>
      </c>
      <c r="H5" s="8">
        <v>1.518658888570862E-2</v>
      </c>
      <c r="I5" s="8">
        <f ca="1">(interestRate-dividend-0.5*sigma^2)*1/252+sigma*SQRT(1/252)*_xlfn.NORM.S.INV(RAND())</f>
        <v>-6.5030311007443636E-3</v>
      </c>
      <c r="J5" s="27">
        <f t="shared" ref="J5:J68" ca="1" si="3">J4*EXP(I5)</f>
        <v>113.73512596728634</v>
      </c>
      <c r="K5" s="20">
        <f t="shared" ref="K5:K68" ca="1" si="4">IF($C$25="BM Theoretical",J5,K4*EXP(H5))</f>
        <v>113.73512596728634</v>
      </c>
      <c r="L5" s="20">
        <f ca="1">BlackScholes(OptType,"Price",K5,Strike,time-G5,0,sigma,interestRate,dividend)</f>
        <v>9.7202944332205377</v>
      </c>
      <c r="M5" s="21">
        <f ca="1">L5*units*optMult*IF(Side="Short",-1,1)</f>
        <v>-97202.944332205385</v>
      </c>
      <c r="N5" s="6">
        <f ca="1">BlackScholes(OptType,"Delta",K5,Strike,time-G5,0,sigma,interestRate,dividend)*IF(Side="Short",-1,1)*units*optMult</f>
        <v>4824.1934943681299</v>
      </c>
      <c r="O5" s="6">
        <f ca="1">K5*EXP((interestRate-dividend)*(time-G5))</f>
        <v>113.73512596728634</v>
      </c>
      <c r="P5" s="19">
        <f>EXP((interestRate-dividend)*(time-G5))*futMult</f>
        <v>250</v>
      </c>
      <c r="Q5">
        <f t="shared" ca="1" si="1"/>
        <v>-19.296773977472519</v>
      </c>
      <c r="R5" s="32">
        <f t="shared" ref="R5:R68" ca="1" si="5">Q5-Q4</f>
        <v>-0.52385766609241458</v>
      </c>
      <c r="S5" s="17">
        <f t="shared" ref="S5:S68" ca="1" si="6">S4+R5</f>
        <v>-19.296773977472519</v>
      </c>
      <c r="T5" s="24">
        <f t="shared" ref="T5:T68" ca="1" si="7">M5-M4</f>
        <v>-3350.1793460692279</v>
      </c>
      <c r="U5" s="24">
        <f t="shared" ref="U5:U68" ca="1" si="8">N4*(K5-K4)</f>
        <v>-3482.5316915717131</v>
      </c>
      <c r="V5" s="24">
        <f ca="1">S4*(O5-O4)*futMult</f>
        <v>3482.5316915717131</v>
      </c>
      <c r="W5" s="24">
        <f ca="1">T5+V5</f>
        <v>132.35234550248515</v>
      </c>
      <c r="X5" s="24">
        <f ca="1">X4+T5</f>
        <v>86005.107142127948</v>
      </c>
      <c r="Y5" s="24">
        <f t="shared" ref="Y5:Y68" ca="1" si="9">Y4+V5</f>
        <v>5888.4997565256772</v>
      </c>
      <c r="Z5" s="24"/>
      <c r="AA5" s="24"/>
    </row>
    <row r="6" spans="2:28" x14ac:dyDescent="0.25">
      <c r="B6" s="1" t="s">
        <v>1</v>
      </c>
      <c r="C6" s="3">
        <v>0.2</v>
      </c>
      <c r="F6" s="18">
        <f t="shared" si="2"/>
        <v>3</v>
      </c>
      <c r="G6">
        <f t="shared" si="0"/>
        <v>1.1904761904761904E-2</v>
      </c>
      <c r="H6" s="8">
        <v>-1.9198183300535444E-2</v>
      </c>
      <c r="I6" s="8">
        <f ca="1">(interestRate-dividend-0.5*sigma^2)*1/252+sigma*SQRT(1/252)*_xlfn.NORM.S.INV(RAND())</f>
        <v>-5.7554569737157868E-3</v>
      </c>
      <c r="J6" s="27">
        <f t="shared" ca="1" si="3"/>
        <v>113.08240848884975</v>
      </c>
      <c r="K6" s="20">
        <f t="shared" ca="1" si="4"/>
        <v>113.08240848884975</v>
      </c>
      <c r="L6" s="20">
        <f ca="1">BlackScholes(OptType,"Price",K6,Strike,time-G6,0,sigma,interestRate,dividend)</f>
        <v>10.020944185278358</v>
      </c>
      <c r="M6" s="21">
        <f ca="1">L6*units*optMult*IF(Side="Short",-1,1)</f>
        <v>-100209.44185278358</v>
      </c>
      <c r="N6" s="6">
        <f ca="1">BlackScholes(OptType,"Delta",K6,Strike,time-G6,0,sigma,interestRate,dividend)*IF(Side="Short",-1,1)*units*optMult</f>
        <v>4940.8728253631525</v>
      </c>
      <c r="O6" s="6">
        <f ca="1">K6*EXP((interestRate-dividend)*(time-G6))</f>
        <v>113.08240848884975</v>
      </c>
      <c r="P6" s="19">
        <f>EXP((interestRate-dividend)*(time-G6))*futMult</f>
        <v>250</v>
      </c>
      <c r="Q6">
        <f t="shared" ca="1" si="1"/>
        <v>-19.763491301452611</v>
      </c>
      <c r="R6" s="32">
        <f t="shared" ca="1" si="5"/>
        <v>-0.46671732398009169</v>
      </c>
      <c r="S6" s="17">
        <f t="shared" ca="1" si="6"/>
        <v>-19.763491301452611</v>
      </c>
      <c r="T6" s="24">
        <f t="shared" ca="1" si="7"/>
        <v>-3006.4975205781957</v>
      </c>
      <c r="U6" s="24">
        <f t="shared" ca="1" si="8"/>
        <v>-3148.8354131341457</v>
      </c>
      <c r="V6" s="24">
        <f ca="1">S5*(O6-O5)*futMult</f>
        <v>3148.8354131341457</v>
      </c>
      <c r="W6" s="24">
        <f ca="1">T6+V6</f>
        <v>142.33789255595002</v>
      </c>
      <c r="X6" s="24">
        <f ca="1">X5+T6</f>
        <v>82998.609621549753</v>
      </c>
      <c r="Y6" s="24">
        <f t="shared" ca="1" si="9"/>
        <v>9037.335169659822</v>
      </c>
      <c r="Z6" s="24"/>
    </row>
    <row r="7" spans="2:28" x14ac:dyDescent="0.25">
      <c r="B7" s="1" t="s">
        <v>2</v>
      </c>
      <c r="C7" s="4">
        <v>0</v>
      </c>
      <c r="F7" s="18">
        <f t="shared" si="2"/>
        <v>4</v>
      </c>
      <c r="G7">
        <f t="shared" si="0"/>
        <v>1.5873015873015872E-2</v>
      </c>
      <c r="H7" s="8">
        <v>-2.9520976844763453E-3</v>
      </c>
      <c r="I7" s="8">
        <f ca="1">(interestRate-dividend-0.5*sigma^2)*1/252+sigma*SQRT(1/252)*_xlfn.NORM.S.INV(RAND())</f>
        <v>1.8735371808216109E-2</v>
      </c>
      <c r="J7" s="27">
        <f t="shared" ca="1" si="3"/>
        <v>115.22102074820765</v>
      </c>
      <c r="K7" s="20">
        <f t="shared" ca="1" si="4"/>
        <v>115.22102074820765</v>
      </c>
      <c r="L7" s="20">
        <f ca="1">BlackScholes(OptType,"Price",K7,Strike,time-G7,0,sigma,interestRate,dividend)</f>
        <v>8.9862972964653487</v>
      </c>
      <c r="M7" s="21">
        <f ca="1">L7*units*optMult*IF(Side="Short",-1,1)</f>
        <v>-89862.972964653483</v>
      </c>
      <c r="N7" s="6">
        <f ca="1">BlackScholes(OptType,"Delta",K7,Strike,time-G7,0,sigma,interestRate,dividend)*IF(Side="Short",-1,1)*units*optMult</f>
        <v>4566.4857232235636</v>
      </c>
      <c r="O7" s="6">
        <f ca="1">K7*EXP((interestRate-dividend)*(time-G7))</f>
        <v>115.22102074820765</v>
      </c>
      <c r="P7" s="19">
        <f>EXP((interestRate-dividend)*(time-G7))*futMult</f>
        <v>250</v>
      </c>
      <c r="Q7">
        <f t="shared" ca="1" si="1"/>
        <v>-18.265942892894255</v>
      </c>
      <c r="R7" s="32">
        <f t="shared" ca="1" si="5"/>
        <v>1.4975484085583552</v>
      </c>
      <c r="S7" s="17">
        <f t="shared" ca="1" si="6"/>
        <v>-18.265942892894255</v>
      </c>
      <c r="T7" s="24">
        <f t="shared" ca="1" si="7"/>
        <v>10346.468888130097</v>
      </c>
      <c r="U7" s="24">
        <f t="shared" ca="1" si="8"/>
        <v>10566.611196249936</v>
      </c>
      <c r="V7" s="24">
        <f ca="1">S6*(O7-O6)*futMult</f>
        <v>-10566.611196249938</v>
      </c>
      <c r="W7" s="24">
        <f ca="1">T7+V7</f>
        <v>-220.14230811984089</v>
      </c>
      <c r="X7" s="24">
        <f ca="1">X6+T7</f>
        <v>93345.07850967985</v>
      </c>
      <c r="Y7" s="24">
        <f t="shared" ca="1" si="9"/>
        <v>-1529.2760265901161</v>
      </c>
      <c r="Z7" s="24"/>
    </row>
    <row r="8" spans="2:28" x14ac:dyDescent="0.25">
      <c r="B8" s="1" t="s">
        <v>3</v>
      </c>
      <c r="C8" s="4">
        <v>0</v>
      </c>
      <c r="F8" s="18">
        <f t="shared" si="2"/>
        <v>5</v>
      </c>
      <c r="G8">
        <f t="shared" si="0"/>
        <v>1.984126984126984E-2</v>
      </c>
      <c r="H8" s="8">
        <v>-1.707744235757979E-2</v>
      </c>
      <c r="I8" s="8">
        <f ca="1">(interestRate-dividend-0.5*sigma^2)*1/252+sigma*SQRT(1/252)*_xlfn.NORM.S.INV(RAND())</f>
        <v>4.4697333732806243E-3</v>
      </c>
      <c r="J8" s="27">
        <f t="shared" ca="1" si="3"/>
        <v>115.73718067924204</v>
      </c>
      <c r="K8" s="20">
        <f t="shared" ca="1" si="4"/>
        <v>115.73718067924204</v>
      </c>
      <c r="L8" s="20">
        <f ca="1">BlackScholes(OptType,"Price",K8,Strike,time-G8,0,sigma,interestRate,dividend)</f>
        <v>8.7345696566730009</v>
      </c>
      <c r="M8" s="21">
        <f ca="1">L8*units*optMult*IF(Side="Short",-1,1)</f>
        <v>-87345.69656673001</v>
      </c>
      <c r="N8" s="6">
        <f ca="1">BlackScholes(OptType,"Delta",K8,Strike,time-G8,0,sigma,interestRate,dividend)*IF(Side="Short",-1,1)*units*optMult</f>
        <v>4477.7937476594298</v>
      </c>
      <c r="O8" s="6">
        <f ca="1">K8*EXP((interestRate-dividend)*(time-G8))</f>
        <v>115.73718067924204</v>
      </c>
      <c r="P8" s="19">
        <f>EXP((interestRate-dividend)*(time-G8))*futMult</f>
        <v>250</v>
      </c>
      <c r="Q8">
        <f t="shared" ca="1" si="1"/>
        <v>-17.911174990637718</v>
      </c>
      <c r="R8" s="32">
        <f t="shared" ca="1" si="5"/>
        <v>0.35476790225653687</v>
      </c>
      <c r="S8" s="17">
        <f t="shared" ca="1" si="6"/>
        <v>-17.911174990637718</v>
      </c>
      <c r="T8" s="24">
        <f t="shared" ca="1" si="7"/>
        <v>2517.2763979234733</v>
      </c>
      <c r="U8" s="24">
        <f t="shared" ca="1" si="8"/>
        <v>2357.0369559686219</v>
      </c>
      <c r="V8" s="24">
        <f ca="1">S7*(O8-O7)*futMult</f>
        <v>-2357.0369559686219</v>
      </c>
      <c r="W8" s="24">
        <f ca="1">T8+V8</f>
        <v>160.23944195485137</v>
      </c>
      <c r="X8" s="24">
        <f ca="1">X7+T8</f>
        <v>95862.354907603323</v>
      </c>
      <c r="Y8" s="24">
        <f t="shared" ca="1" si="9"/>
        <v>-3886.312982558738</v>
      </c>
      <c r="Z8" s="24"/>
    </row>
    <row r="9" spans="2:28" x14ac:dyDescent="0.25">
      <c r="B9" s="1" t="s">
        <v>5</v>
      </c>
      <c r="C9" s="2">
        <v>1</v>
      </c>
      <c r="F9" s="18">
        <f t="shared" si="2"/>
        <v>6</v>
      </c>
      <c r="G9">
        <f t="shared" si="0"/>
        <v>2.3809523809523808E-2</v>
      </c>
      <c r="H9" s="8">
        <v>-1.381040967466359E-2</v>
      </c>
      <c r="I9" s="8">
        <f ca="1">(interestRate-dividend-0.5*sigma^2)*1/252+sigma*SQRT(1/252)*_xlfn.NORM.S.INV(RAND())</f>
        <v>-2.5925683373856853E-2</v>
      </c>
      <c r="J9" s="27">
        <f t="shared" ca="1" si="3"/>
        <v>112.77517706742692</v>
      </c>
      <c r="K9" s="20">
        <f t="shared" ca="1" si="4"/>
        <v>112.77517706742692</v>
      </c>
      <c r="L9" s="20">
        <f ca="1">BlackScholes(OptType,"Price",K9,Strike,time-G9,0,sigma,interestRate,dividend)</f>
        <v>10.119536121498246</v>
      </c>
      <c r="M9" s="21">
        <f ca="1">L9*units*optMult*IF(Side="Short",-1,1)</f>
        <v>-101195.36121498246</v>
      </c>
      <c r="N9" s="6">
        <f ca="1">BlackScholes(OptType,"Delta",K9,Strike,time-G9,0,sigma,interestRate,dividend)*IF(Side="Short",-1,1)*units*optMult</f>
        <v>5000.243588267399</v>
      </c>
      <c r="O9" s="6">
        <f ca="1">K9*EXP((interestRate-dividend)*(time-G9))</f>
        <v>112.77517706742692</v>
      </c>
      <c r="P9" s="19">
        <f>EXP((interestRate-dividend)*(time-G9))*futMult</f>
        <v>250</v>
      </c>
      <c r="Q9">
        <f t="shared" ca="1" si="1"/>
        <v>-20.000974353069594</v>
      </c>
      <c r="R9" s="32">
        <f t="shared" ca="1" si="5"/>
        <v>-2.0897993624318758</v>
      </c>
      <c r="S9" s="17">
        <f t="shared" ca="1" si="6"/>
        <v>-20.000974353069594</v>
      </c>
      <c r="T9" s="24">
        <f t="shared" ca="1" si="7"/>
        <v>-13849.664648252452</v>
      </c>
      <c r="U9" s="24">
        <f t="shared" ca="1" si="8"/>
        <v>-13263.241253530396</v>
      </c>
      <c r="V9" s="24">
        <f ca="1">S8*(O9-O8)*futMult</f>
        <v>13263.241253530396</v>
      </c>
      <c r="W9" s="24">
        <f ca="1">T9+V9</f>
        <v>-586.4233947220564</v>
      </c>
      <c r="X9" s="24">
        <f ca="1">X8+T9</f>
        <v>82012.690259350871</v>
      </c>
      <c r="Y9" s="24">
        <f t="shared" ca="1" si="9"/>
        <v>9376.9282709716572</v>
      </c>
      <c r="Z9" s="24"/>
    </row>
    <row r="10" spans="2:28" x14ac:dyDescent="0.25">
      <c r="B10" s="1" t="s">
        <v>13</v>
      </c>
      <c r="C10" s="3">
        <v>1</v>
      </c>
      <c r="F10" s="18">
        <f t="shared" si="2"/>
        <v>7</v>
      </c>
      <c r="G10">
        <f t="shared" si="0"/>
        <v>2.7777777777777776E-2</v>
      </c>
      <c r="H10" s="8">
        <v>-1.3769580723756883E-2</v>
      </c>
      <c r="I10" s="8">
        <f ca="1">(interestRate-dividend-0.5*sigma^2)*1/252+sigma*SQRT(1/252)*_xlfn.NORM.S.INV(RAND())</f>
        <v>1.6773148312616733E-2</v>
      </c>
      <c r="J10" s="27">
        <f t="shared" ca="1" si="3"/>
        <v>114.68272490776855</v>
      </c>
      <c r="K10" s="20">
        <f t="shared" ca="1" si="4"/>
        <v>114.68272490776855</v>
      </c>
      <c r="L10" s="20">
        <f ca="1">BlackScholes(OptType,"Price",K10,Strike,time-G10,0,sigma,interestRate,dividend)</f>
        <v>9.1797560103795437</v>
      </c>
      <c r="M10" s="21">
        <f ca="1">L10*units*optMult*IF(Side="Short",-1,1)</f>
        <v>-91797.560103795433</v>
      </c>
      <c r="N10" s="6">
        <f ca="1">BlackScholes(OptType,"Delta",K10,Strike,time-G10,0,sigma,interestRate,dividend)*IF(Side="Short",-1,1)*units*optMult</f>
        <v>4662.9297962654009</v>
      </c>
      <c r="O10" s="6">
        <f ca="1">K10*EXP((interestRate-dividend)*(time-G10))</f>
        <v>114.68272490776855</v>
      </c>
      <c r="P10" s="19">
        <f>EXP((interestRate-dividend)*(time-G10))*futMult</f>
        <v>250</v>
      </c>
      <c r="Q10">
        <f t="shared" ca="1" si="1"/>
        <v>-18.651719185061605</v>
      </c>
      <c r="R10" s="32">
        <f t="shared" ca="1" si="5"/>
        <v>1.3492551680079892</v>
      </c>
      <c r="S10" s="17">
        <f t="shared" ca="1" si="6"/>
        <v>-18.651719185061605</v>
      </c>
      <c r="T10" s="24">
        <f t="shared" ca="1" si="7"/>
        <v>9397.8011111870292</v>
      </c>
      <c r="U10" s="24">
        <f t="shared" ca="1" si="8"/>
        <v>9538.2038579815162</v>
      </c>
      <c r="V10" s="24">
        <f ca="1">S9*(O10-O9)*futMult</f>
        <v>-9538.2038579815144</v>
      </c>
      <c r="W10" s="24">
        <f ca="1">T10+V10</f>
        <v>-140.40274679448521</v>
      </c>
      <c r="X10" s="24">
        <f ca="1">X9+T10</f>
        <v>91410.4913705379</v>
      </c>
      <c r="Y10" s="24">
        <f t="shared" ca="1" si="9"/>
        <v>-161.27558700985719</v>
      </c>
      <c r="Z10" s="24"/>
    </row>
    <row r="11" spans="2:28" x14ac:dyDescent="0.25">
      <c r="B11" s="13"/>
      <c r="C11" s="14"/>
      <c r="F11" s="18">
        <f t="shared" si="2"/>
        <v>8</v>
      </c>
      <c r="G11">
        <f t="shared" si="0"/>
        <v>3.1746031746031744E-2</v>
      </c>
      <c r="H11" s="8">
        <v>2.4659480884411059E-2</v>
      </c>
      <c r="I11" s="8">
        <f ca="1">(interestRate-dividend-0.5*sigma^2)*1/252+sigma*SQRT(1/252)*_xlfn.NORM.S.INV(RAND())</f>
        <v>-8.078695094200233E-3</v>
      </c>
      <c r="J11" s="27">
        <f t="shared" ca="1" si="3"/>
        <v>113.75997048512964</v>
      </c>
      <c r="K11" s="20">
        <f t="shared" ca="1" si="4"/>
        <v>113.75997048512964</v>
      </c>
      <c r="L11" s="20">
        <f ca="1">BlackScholes(OptType,"Price",K11,Strike,time-G11,0,sigma,interestRate,dividend)</f>
        <v>9.5992746308744685</v>
      </c>
      <c r="M11" s="21">
        <f ca="1">L11*units*optMult*IF(Side="Short",-1,1)</f>
        <v>-95992.746308744681</v>
      </c>
      <c r="N11" s="6">
        <f ca="1">BlackScholes(OptType,"Delta",K11,Strike,time-G11,0,sigma,interestRate,dividend)*IF(Side="Short",-1,1)*units*optMult</f>
        <v>4827.2668629889977</v>
      </c>
      <c r="O11" s="6">
        <f ca="1">K11*EXP((interestRate-dividend)*(time-G11))</f>
        <v>113.75997048512964</v>
      </c>
      <c r="P11" s="19">
        <f>EXP((interestRate-dividend)*(time-G11))*futMult</f>
        <v>250</v>
      </c>
      <c r="Q11">
        <f t="shared" ca="1" si="1"/>
        <v>-19.30906745195599</v>
      </c>
      <c r="R11" s="32">
        <f t="shared" ca="1" si="5"/>
        <v>-0.65734826689438464</v>
      </c>
      <c r="S11" s="17">
        <f t="shared" ca="1" si="6"/>
        <v>-19.30906745195599</v>
      </c>
      <c r="T11" s="24">
        <f t="shared" ca="1" si="7"/>
        <v>-4195.1862049492483</v>
      </c>
      <c r="U11" s="24">
        <f t="shared" ca="1" si="8"/>
        <v>-4302.7390919586169</v>
      </c>
      <c r="V11" s="24">
        <f ca="1">S10*(O11-O10)*futMult</f>
        <v>4302.7390919586178</v>
      </c>
      <c r="W11" s="24">
        <f ca="1">T11+V11</f>
        <v>107.55288700936944</v>
      </c>
      <c r="X11" s="24">
        <f ca="1">X10+T11</f>
        <v>87215.305165588652</v>
      </c>
      <c r="Y11" s="24">
        <f t="shared" ca="1" si="9"/>
        <v>4141.4635049487606</v>
      </c>
      <c r="Z11" s="24"/>
    </row>
    <row r="12" spans="2:28" x14ac:dyDescent="0.25">
      <c r="B12" s="1" t="s">
        <v>16</v>
      </c>
      <c r="C12" s="14">
        <v>100</v>
      </c>
      <c r="F12" s="18">
        <f t="shared" si="2"/>
        <v>9</v>
      </c>
      <c r="G12">
        <f t="shared" si="0"/>
        <v>3.5714285714285712E-2</v>
      </c>
      <c r="H12" s="8">
        <v>2.9183373389555015E-2</v>
      </c>
      <c r="I12" s="8">
        <f ca="1">(interestRate-dividend-0.5*sigma^2)*1/252+sigma*SQRT(1/252)*_xlfn.NORM.S.INV(RAND())</f>
        <v>1.3180329135250549E-3</v>
      </c>
      <c r="J12" s="27">
        <f t="shared" ca="1" si="3"/>
        <v>113.91000872642017</v>
      </c>
      <c r="K12" s="20">
        <f t="shared" ca="1" si="4"/>
        <v>113.91000872642017</v>
      </c>
      <c r="L12" s="20">
        <f ca="1">BlackScholes(OptType,"Price",K12,Strike,time-G12,0,sigma,interestRate,dividend)</f>
        <v>9.5087250318329257</v>
      </c>
      <c r="M12" s="21">
        <f ca="1">L12*units*optMult*IF(Side="Short",-1,1)</f>
        <v>-95087.250318329257</v>
      </c>
      <c r="N12" s="6">
        <f ca="1">BlackScholes(OptType,"Delta",K12,Strike,time-G12,0,sigma,interestRate,dividend)*IF(Side="Short",-1,1)*units*optMult</f>
        <v>4801.7780834696896</v>
      </c>
      <c r="O12" s="6">
        <f ca="1">K12*EXP((interestRate-dividend)*(time-G12))</f>
        <v>113.91000872642017</v>
      </c>
      <c r="P12" s="19">
        <f>EXP((interestRate-dividend)*(time-G12))*futMult</f>
        <v>250</v>
      </c>
      <c r="Q12">
        <f t="shared" ca="1" si="1"/>
        <v>-19.207112333878758</v>
      </c>
      <c r="R12" s="32">
        <f t="shared" ca="1" si="5"/>
        <v>0.10195511807723179</v>
      </c>
      <c r="S12" s="17">
        <f t="shared" ca="1" si="6"/>
        <v>-19.207112333878758</v>
      </c>
      <c r="T12" s="24">
        <f t="shared" ca="1" si="7"/>
        <v>905.49599041542388</v>
      </c>
      <c r="U12" s="24">
        <f t="shared" ca="1" si="8"/>
        <v>724.27463036292795</v>
      </c>
      <c r="V12" s="24">
        <f ca="1">S11*(O12-O11)*futMult</f>
        <v>-724.27463036292784</v>
      </c>
      <c r="W12" s="24">
        <f ca="1">T12+V12</f>
        <v>181.22136005249604</v>
      </c>
      <c r="X12" s="24">
        <f ca="1">X11+T12</f>
        <v>88120.801156004076</v>
      </c>
      <c r="Y12" s="24">
        <f t="shared" ca="1" si="9"/>
        <v>3417.1888745858328</v>
      </c>
      <c r="Z12" s="24"/>
    </row>
    <row r="13" spans="2:28" x14ac:dyDescent="0.25">
      <c r="B13" s="1" t="s">
        <v>15</v>
      </c>
      <c r="C13" s="14">
        <v>100</v>
      </c>
      <c r="F13" s="18">
        <f t="shared" si="2"/>
        <v>10</v>
      </c>
      <c r="G13">
        <f t="shared" si="0"/>
        <v>3.968253968253968E-2</v>
      </c>
      <c r="H13" s="8">
        <v>-7.7530130367013551E-3</v>
      </c>
      <c r="I13" s="8">
        <f ca="1">(interestRate-dividend-0.5*sigma^2)*1/252+sigma*SQRT(1/252)*_xlfn.NORM.S.INV(RAND())</f>
        <v>3.3471879350841085E-4</v>
      </c>
      <c r="J13" s="27">
        <f t="shared" ca="1" si="3"/>
        <v>113.94814292887069</v>
      </c>
      <c r="K13" s="20">
        <f t="shared" ca="1" si="4"/>
        <v>113.94814292887069</v>
      </c>
      <c r="L13" s="20">
        <f ca="1">BlackScholes(OptType,"Price",K13,Strike,time-G13,0,sigma,interestRate,dividend)</f>
        <v>9.4720617889157079</v>
      </c>
      <c r="M13" s="21">
        <f ca="1">L13*units*optMult*IF(Side="Short",-1,1)</f>
        <v>-94720.617889157074</v>
      </c>
      <c r="N13" s="6">
        <f ca="1">BlackScholes(OptType,"Delta",K13,Strike,time-G13,0,sigma,interestRate,dividend)*IF(Side="Short",-1,1)*units*optMult</f>
        <v>4796.1781645415704</v>
      </c>
      <c r="O13" s="6">
        <f ca="1">K13*EXP((interestRate-dividend)*(time-G13))</f>
        <v>113.94814292887069</v>
      </c>
      <c r="P13" s="19">
        <f>EXP((interestRate-dividend)*(time-G13))*futMult</f>
        <v>250</v>
      </c>
      <c r="Q13">
        <f t="shared" ca="1" si="1"/>
        <v>-19.18471265816628</v>
      </c>
      <c r="R13" s="32">
        <f t="shared" ca="1" si="5"/>
        <v>2.2399675712478029E-2</v>
      </c>
      <c r="S13" s="17">
        <f t="shared" ca="1" si="6"/>
        <v>-19.18471265816628</v>
      </c>
      <c r="T13" s="24">
        <f t="shared" ca="1" si="7"/>
        <v>366.63242917218304</v>
      </c>
      <c r="U13" s="24">
        <f t="shared" ca="1" si="8"/>
        <v>183.11197755751061</v>
      </c>
      <c r="V13" s="24">
        <f ca="1">S12*(O13-O12)*futMult</f>
        <v>-183.11197755751061</v>
      </c>
      <c r="W13" s="24">
        <f ca="1">T13+V13</f>
        <v>183.52045161467242</v>
      </c>
      <c r="X13" s="24">
        <f ca="1">X12+T13</f>
        <v>88487.433585176259</v>
      </c>
      <c r="Y13" s="24">
        <f t="shared" ca="1" si="9"/>
        <v>3234.076897028322</v>
      </c>
      <c r="Z13" s="24"/>
    </row>
    <row r="14" spans="2:28" ht="15.75" thickBot="1" x14ac:dyDescent="0.3">
      <c r="B14" s="16" t="s">
        <v>11</v>
      </c>
      <c r="C14" s="29">
        <f>BlackScholes(OptType,"Price",Strike*moneyness,Strike,time,0,sigma,interestRate,dividend)*IF(Side="Short",1,-1)*units*optMult</f>
        <v>91604.025737166667</v>
      </c>
      <c r="F14" s="18">
        <f t="shared" si="2"/>
        <v>11</v>
      </c>
      <c r="G14">
        <f t="shared" si="0"/>
        <v>4.3650793650793648E-2</v>
      </c>
      <c r="H14" s="8">
        <v>1.0324050403138519E-2</v>
      </c>
      <c r="I14" s="8">
        <f ca="1">(interestRate-dividend-0.5*sigma^2)*1/252+sigma*SQRT(1/252)*_xlfn.NORM.S.INV(RAND())</f>
        <v>-1.8747117535443742E-2</v>
      </c>
      <c r="J14" s="27">
        <f t="shared" ca="1" si="3"/>
        <v>111.83184294426496</v>
      </c>
      <c r="K14" s="20">
        <f t="shared" ca="1" si="4"/>
        <v>111.83184294426496</v>
      </c>
      <c r="L14" s="20">
        <f ca="1">BlackScholes(OptType,"Price",K14,Strike,time-G14,0,sigma,interestRate,dividend)</f>
        <v>10.509245199561851</v>
      </c>
      <c r="M14" s="21">
        <f ca="1">L14*units*optMult*IF(Side="Short",-1,1)</f>
        <v>-105092.45199561851</v>
      </c>
      <c r="N14" s="6">
        <f ca="1">BlackScholes(OptType,"Delta",K14,Strike,time-G14,0,sigma,interestRate,dividend)*IF(Side="Short",-1,1)*units*optMult</f>
        <v>5179.6147249150754</v>
      </c>
      <c r="O14" s="6">
        <f ca="1">K14*EXP((interestRate-dividend)*(time-G14))</f>
        <v>111.83184294426496</v>
      </c>
      <c r="P14" s="19">
        <f>EXP((interestRate-dividend)*(time-G14))*futMult</f>
        <v>250</v>
      </c>
      <c r="Q14">
        <f t="shared" ca="1" si="1"/>
        <v>-20.718458899660302</v>
      </c>
      <c r="R14" s="32">
        <f t="shared" ca="1" si="5"/>
        <v>-1.5337462414940219</v>
      </c>
      <c r="S14" s="17">
        <f t="shared" ca="1" si="6"/>
        <v>-20.718458899660302</v>
      </c>
      <c r="T14" s="24">
        <f t="shared" ca="1" si="7"/>
        <v>-10371.834106461436</v>
      </c>
      <c r="U14" s="24">
        <f t="shared" ca="1" si="8"/>
        <v>-10150.151775785673</v>
      </c>
      <c r="V14" s="24">
        <f ca="1">S13*(O14-O13)*futMult</f>
        <v>10150.151775785671</v>
      </c>
      <c r="W14" s="24">
        <f ca="1">T14+V14</f>
        <v>-221.68233067576512</v>
      </c>
      <c r="X14" s="24">
        <f ca="1">X13+T14</f>
        <v>78115.599478714823</v>
      </c>
      <c r="Y14" s="24">
        <f t="shared" ca="1" si="9"/>
        <v>13384.228672813993</v>
      </c>
      <c r="Z14" s="24"/>
    </row>
    <row r="15" spans="2:28" x14ac:dyDescent="0.25">
      <c r="F15" s="18">
        <f t="shared" si="2"/>
        <v>12</v>
      </c>
      <c r="G15">
        <f t="shared" si="0"/>
        <v>4.7619047619047616E-2</v>
      </c>
      <c r="H15" s="8">
        <v>-3.5479902395576042E-3</v>
      </c>
      <c r="I15" s="8">
        <f ca="1">(interestRate-dividend-0.5*sigma^2)*1/252+sigma*SQRT(1/252)*_xlfn.NORM.S.INV(RAND())</f>
        <v>2.2644995141911702E-2</v>
      </c>
      <c r="J15" s="27">
        <f t="shared" ca="1" si="3"/>
        <v>114.39316560199541</v>
      </c>
      <c r="K15" s="20">
        <f t="shared" ca="1" si="4"/>
        <v>114.39316560199541</v>
      </c>
      <c r="L15" s="20">
        <f ca="1">BlackScholes(OptType,"Price",K15,Strike,time-G15,0,sigma,interestRate,dividend)</f>
        <v>9.22344046915007</v>
      </c>
      <c r="M15" s="21">
        <f ca="1">L15*units*optMult*IF(Side="Short",-1,1)</f>
        <v>-92234.404691500691</v>
      </c>
      <c r="N15" s="6">
        <f ca="1">BlackScholes(OptType,"Delta",K15,Strike,time-G15,0,sigma,interestRate,dividend)*IF(Side="Short",-1,1)*units*optMult</f>
        <v>4719.0470999728132</v>
      </c>
      <c r="O15" s="6">
        <f ca="1">K15*EXP((interestRate-dividend)*(time-G15))</f>
        <v>114.39316560199541</v>
      </c>
      <c r="P15" s="19">
        <f>EXP((interestRate-dividend)*(time-G15))*futMult</f>
        <v>250</v>
      </c>
      <c r="Q15">
        <f t="shared" ca="1" si="1"/>
        <v>-18.876188399891252</v>
      </c>
      <c r="R15" s="32">
        <f t="shared" ca="1" si="5"/>
        <v>1.8422704997690502</v>
      </c>
      <c r="S15" s="17">
        <f t="shared" ca="1" si="6"/>
        <v>-18.876188399891252</v>
      </c>
      <c r="T15" s="24">
        <f t="shared" ca="1" si="7"/>
        <v>12858.047304117819</v>
      </c>
      <c r="U15" s="24">
        <f t="shared" ca="1" si="8"/>
        <v>13266.664553239219</v>
      </c>
      <c r="V15" s="24">
        <f ca="1">S14*(O15-O14)*futMult</f>
        <v>-13266.664553239218</v>
      </c>
      <c r="W15" s="24">
        <f ca="1">T15+V15</f>
        <v>-408.61724912139834</v>
      </c>
      <c r="X15" s="24">
        <f ca="1">X14+T15</f>
        <v>90973.646782832642</v>
      </c>
      <c r="Y15" s="24">
        <f t="shared" ca="1" si="9"/>
        <v>117.56411957477576</v>
      </c>
      <c r="Z15" s="24"/>
    </row>
    <row r="16" spans="2:28" ht="15.75" thickBot="1" x14ac:dyDescent="0.3">
      <c r="F16" s="18">
        <f t="shared" si="2"/>
        <v>13</v>
      </c>
      <c r="G16">
        <f t="shared" si="0"/>
        <v>5.1587301587301584E-2</v>
      </c>
      <c r="H16" s="8">
        <v>-4.7205609814848191E-3</v>
      </c>
      <c r="I16" s="8">
        <f ca="1">(interestRate-dividend-0.5*sigma^2)*1/252+sigma*SQRT(1/252)*_xlfn.NORM.S.INV(RAND())</f>
        <v>7.5734421123141037E-4</v>
      </c>
      <c r="J16" s="27">
        <f t="shared" ca="1" si="3"/>
        <v>114.47983341831051</v>
      </c>
      <c r="K16" s="20">
        <f t="shared" ca="1" si="4"/>
        <v>114.47983341831051</v>
      </c>
      <c r="L16" s="20">
        <f ca="1">BlackScholes(OptType,"Price",K16,Strike,time-G16,0,sigma,interestRate,dividend)</f>
        <v>9.1640692968349065</v>
      </c>
      <c r="M16" s="21">
        <f ca="1">L16*units*optMult*IF(Side="Short",-1,1)</f>
        <v>-91640.69296834906</v>
      </c>
      <c r="N16" s="6">
        <f ca="1">BlackScholes(OptType,"Delta",K16,Strike,time-G16,0,sigma,interestRate,dividend)*IF(Side="Short",-1,1)*units*optMult</f>
        <v>4704.6105883592691</v>
      </c>
      <c r="O16" s="6">
        <f ca="1">K16*EXP((interestRate-dividend)*(time-G16))</f>
        <v>114.47983341831051</v>
      </c>
      <c r="P16" s="19">
        <f>EXP((interestRate-dividend)*(time-G16))*futMult</f>
        <v>250</v>
      </c>
      <c r="Q16">
        <f t="shared" ca="1" si="1"/>
        <v>-18.818442353437078</v>
      </c>
      <c r="R16" s="32">
        <f t="shared" ca="1" si="5"/>
        <v>5.7746046454173694E-2</v>
      </c>
      <c r="S16" s="17">
        <f t="shared" ca="1" si="6"/>
        <v>-18.818442353437078</v>
      </c>
      <c r="T16" s="24">
        <f t="shared" ca="1" si="7"/>
        <v>593.7117231516313</v>
      </c>
      <c r="U16" s="24">
        <f t="shared" ca="1" si="8"/>
        <v>408.98950724274601</v>
      </c>
      <c r="V16" s="24">
        <f ca="1">S15*(O16-O15)*futMult</f>
        <v>-408.98950724274601</v>
      </c>
      <c r="W16" s="24">
        <f ca="1">T16+V16</f>
        <v>184.72221590888529</v>
      </c>
      <c r="X16" s="24">
        <f ca="1">X15+T16</f>
        <v>91567.358505984274</v>
      </c>
      <c r="Y16" s="24">
        <f t="shared" ca="1" si="9"/>
        <v>-291.42538766797026</v>
      </c>
      <c r="Z16" s="24"/>
    </row>
    <row r="17" spans="2:26" x14ac:dyDescent="0.25">
      <c r="B17" s="9" t="s">
        <v>14</v>
      </c>
      <c r="C17" s="10"/>
      <c r="F17" s="18">
        <f t="shared" si="2"/>
        <v>14</v>
      </c>
      <c r="G17">
        <f t="shared" si="0"/>
        <v>5.5555555555555552E-2</v>
      </c>
      <c r="H17" s="8">
        <v>1.7522572225039074E-2</v>
      </c>
      <c r="I17" s="8">
        <f ca="1">(interestRate-dividend-0.5*sigma^2)*1/252+sigma*SQRT(1/252)*_xlfn.NORM.S.INV(RAND())</f>
        <v>-4.4014775799100696E-3</v>
      </c>
      <c r="J17" s="27">
        <f t="shared" ca="1" si="3"/>
        <v>113.97706028219643</v>
      </c>
      <c r="K17" s="20">
        <f t="shared" ca="1" si="4"/>
        <v>113.97706028219643</v>
      </c>
      <c r="L17" s="20">
        <f ca="1">BlackScholes(OptType,"Price",K17,Strike,time-G17,0,sigma,interestRate,dividend)</f>
        <v>9.3843411324307997</v>
      </c>
      <c r="M17" s="21">
        <f ca="1">L17*units*optMult*IF(Side="Short",-1,1)</f>
        <v>-93843.411324307992</v>
      </c>
      <c r="N17" s="6">
        <f ca="1">BlackScholes(OptType,"Delta",K17,Strike,time-G17,0,sigma,interestRate,dividend)*IF(Side="Short",-1,1)*units*optMult</f>
        <v>4795.7800901129876</v>
      </c>
      <c r="O17" s="6">
        <f ca="1">K17*EXP((interestRate-dividend)*(time-G17))</f>
        <v>113.97706028219643</v>
      </c>
      <c r="P17" s="19">
        <f>EXP((interestRate-dividend)*(time-G17))*futMult</f>
        <v>250</v>
      </c>
      <c r="Q17">
        <f t="shared" ca="1" si="1"/>
        <v>-19.183120360451952</v>
      </c>
      <c r="R17" s="32">
        <f t="shared" ca="1" si="5"/>
        <v>-0.36467800701487363</v>
      </c>
      <c r="S17" s="17">
        <f t="shared" ca="1" si="6"/>
        <v>-19.183120360451952</v>
      </c>
      <c r="T17" s="24">
        <f t="shared" ca="1" si="7"/>
        <v>-2202.7183559589321</v>
      </c>
      <c r="U17" s="24">
        <f t="shared" ca="1" si="8"/>
        <v>-2365.3518197048611</v>
      </c>
      <c r="V17" s="24">
        <f ca="1">S16*(O17-O16)*futMult</f>
        <v>2365.3518197048611</v>
      </c>
      <c r="W17" s="24">
        <f ca="1">T17+V17</f>
        <v>162.63346374592902</v>
      </c>
      <c r="X17" s="24">
        <f ca="1">X16+T17</f>
        <v>89364.640150025341</v>
      </c>
      <c r="Y17" s="24">
        <f t="shared" ca="1" si="9"/>
        <v>2073.9264320368907</v>
      </c>
      <c r="Z17" s="24"/>
    </row>
    <row r="18" spans="2:26" x14ac:dyDescent="0.25">
      <c r="B18" s="13" t="s">
        <v>0</v>
      </c>
      <c r="C18" s="14">
        <f>Strike/moneyness</f>
        <v>115</v>
      </c>
      <c r="F18" s="18">
        <f t="shared" si="2"/>
        <v>15</v>
      </c>
      <c r="G18">
        <f t="shared" si="0"/>
        <v>5.9523809523809521E-2</v>
      </c>
      <c r="H18" s="8">
        <v>-7.020623368665076E-4</v>
      </c>
      <c r="I18" s="8">
        <f ca="1">(interestRate-dividend-0.5*sigma^2)*1/252+sigma*SQRT(1/252)*_xlfn.NORM.S.INV(RAND())</f>
        <v>-1.9178216279943806E-2</v>
      </c>
      <c r="J18" s="27">
        <f t="shared" ca="1" si="3"/>
        <v>111.81201082163518</v>
      </c>
      <c r="K18" s="20">
        <f t="shared" ca="1" si="4"/>
        <v>111.81201082163518</v>
      </c>
      <c r="L18" s="20">
        <f ca="1">BlackScholes(OptType,"Price",K18,Strike,time-G18,0,sigma,interestRate,dividend)</f>
        <v>10.446896371629823</v>
      </c>
      <c r="M18" s="21">
        <f ca="1">L18*units*optMult*IF(Side="Short",-1,1)</f>
        <v>-104468.96371629823</v>
      </c>
      <c r="N18" s="6">
        <f ca="1">BlackScholes(OptType,"Delta",K18,Strike,time-G18,0,sigma,interestRate,dividend)*IF(Side="Short",-1,1)*units*optMult</f>
        <v>5191.2896764199368</v>
      </c>
      <c r="O18" s="6">
        <f ca="1">K18*EXP((interestRate-dividend)*(time-G18))</f>
        <v>111.81201082163518</v>
      </c>
      <c r="P18" s="19">
        <f>EXP((interestRate-dividend)*(time-G18))*futMult</f>
        <v>250</v>
      </c>
      <c r="Q18">
        <f t="shared" ca="1" si="1"/>
        <v>-20.765158705679745</v>
      </c>
      <c r="R18" s="32">
        <f t="shared" ca="1" si="5"/>
        <v>-1.5820383452277937</v>
      </c>
      <c r="S18" s="17">
        <f t="shared" ca="1" si="6"/>
        <v>-20.765158705679745</v>
      </c>
      <c r="T18" s="24">
        <f t="shared" ca="1" si="7"/>
        <v>-10625.552391990233</v>
      </c>
      <c r="U18" s="24">
        <f t="shared" ca="1" si="8"/>
        <v>-10383.101097069504</v>
      </c>
      <c r="V18" s="24">
        <f ca="1">S17*(O18-O17)*futMult</f>
        <v>10383.101097069504</v>
      </c>
      <c r="W18" s="24">
        <f ca="1">T18+V18</f>
        <v>-242.4512949207292</v>
      </c>
      <c r="X18" s="24">
        <f ca="1">X17+T18</f>
        <v>78739.087758035108</v>
      </c>
      <c r="Y18" s="24">
        <f t="shared" ca="1" si="9"/>
        <v>12457.027529106395</v>
      </c>
      <c r="Z18" s="24"/>
    </row>
    <row r="19" spans="2:26" x14ac:dyDescent="0.25">
      <c r="B19" s="13" t="s">
        <v>6</v>
      </c>
      <c r="C19" s="25">
        <f>C18*EXP((interestRate-dividend)*time)</f>
        <v>115</v>
      </c>
      <c r="F19" s="18">
        <f t="shared" si="2"/>
        <v>16</v>
      </c>
      <c r="G19">
        <f t="shared" si="0"/>
        <v>6.3492063492063489E-2</v>
      </c>
      <c r="H19" s="8">
        <v>-1.2277679290164548E-2</v>
      </c>
      <c r="I19" s="8">
        <f ca="1">(interestRate-dividend-0.5*sigma^2)*1/252+sigma*SQRT(1/252)*_xlfn.NORM.S.INV(RAND())</f>
        <v>-1.0852210354423233E-2</v>
      </c>
      <c r="J19" s="27">
        <f t="shared" ca="1" si="3"/>
        <v>110.60516368377353</v>
      </c>
      <c r="K19" s="20">
        <f t="shared" ca="1" si="4"/>
        <v>110.60516368377353</v>
      </c>
      <c r="L19" s="20">
        <f ca="1">BlackScholes(OptType,"Price",K19,Strike,time-G19,0,sigma,interestRate,dividend)</f>
        <v>11.068842996239654</v>
      </c>
      <c r="M19" s="21">
        <f ca="1">L19*units*optMult*IF(Side="Short",-1,1)</f>
        <v>-110688.42996239655</v>
      </c>
      <c r="N19" s="6">
        <f ca="1">BlackScholes(OptType,"Delta",K19,Strike,time-G19,0,sigma,interestRate,dividend)*IF(Side="Short",-1,1)*units*optMult</f>
        <v>5416.3332530030257</v>
      </c>
      <c r="O19" s="6">
        <f ca="1">K19*EXP((interestRate-dividend)*(time-G19))</f>
        <v>110.60516368377353</v>
      </c>
      <c r="P19" s="19">
        <f>EXP((interestRate-dividend)*(time-G19))*futMult</f>
        <v>250</v>
      </c>
      <c r="Q19">
        <f t="shared" ca="1" si="1"/>
        <v>-21.665333012012102</v>
      </c>
      <c r="R19" s="32">
        <f t="shared" ca="1" si="5"/>
        <v>-0.90017430633235662</v>
      </c>
      <c r="S19" s="17">
        <f t="shared" ca="1" si="6"/>
        <v>-21.665333012012102</v>
      </c>
      <c r="T19" s="24">
        <f t="shared" ca="1" si="7"/>
        <v>-6219.4662460983236</v>
      </c>
      <c r="U19" s="24">
        <f t="shared" ca="1" si="8"/>
        <v>-6265.0930877981727</v>
      </c>
      <c r="V19" s="24">
        <f ca="1">S18*(O19-O18)*futMult</f>
        <v>6265.0930877981727</v>
      </c>
      <c r="W19" s="24">
        <f ca="1">T19+V19</f>
        <v>45.626841699849138</v>
      </c>
      <c r="X19" s="24">
        <f ca="1">X18+T19</f>
        <v>72519.621511936784</v>
      </c>
      <c r="Y19" s="24">
        <f t="shared" ca="1" si="9"/>
        <v>18722.120616904569</v>
      </c>
      <c r="Z19" s="24"/>
    </row>
    <row r="20" spans="2:26" x14ac:dyDescent="0.25">
      <c r="B20" s="13" t="s">
        <v>15</v>
      </c>
      <c r="C20" s="14">
        <v>250</v>
      </c>
      <c r="F20" s="18">
        <f t="shared" si="2"/>
        <v>17</v>
      </c>
      <c r="G20">
        <f t="shared" si="0"/>
        <v>6.7460317460317457E-2</v>
      </c>
      <c r="H20" s="8">
        <v>-1.9202025610300891E-2</v>
      </c>
      <c r="I20" s="8">
        <f ca="1">(interestRate-dividend-0.5*sigma^2)*1/252+sigma*SQRT(1/252)*_xlfn.NORM.S.INV(RAND())</f>
        <v>1.3132717754954899E-2</v>
      </c>
      <c r="J20" s="27">
        <f t="shared" ca="1" si="3"/>
        <v>112.0672899120736</v>
      </c>
      <c r="K20" s="20">
        <f t="shared" ca="1" si="4"/>
        <v>112.0672899120736</v>
      </c>
      <c r="L20" s="20">
        <f ca="1">BlackScholes(OptType,"Price",K20,Strike,time-G20,0,sigma,interestRate,dividend)</f>
        <v>10.278330637711909</v>
      </c>
      <c r="M20" s="21">
        <f ca="1">L20*units*optMult*IF(Side="Short",-1,1)</f>
        <v>-102783.30637711908</v>
      </c>
      <c r="N20" s="6">
        <f ca="1">BlackScholes(OptType,"Delta",K20,Strike,time-G20,0,sigma,interestRate,dividend)*IF(Side="Short",-1,1)*units*optMult</f>
        <v>5148.3139905265052</v>
      </c>
      <c r="O20" s="6">
        <f ca="1">K20*EXP((interestRate-dividend)*(time-G20))</f>
        <v>112.0672899120736</v>
      </c>
      <c r="P20" s="19">
        <f>EXP((interestRate-dividend)*(time-G20))*futMult</f>
        <v>250</v>
      </c>
      <c r="Q20">
        <f t="shared" ca="1" si="1"/>
        <v>-20.593255962106021</v>
      </c>
      <c r="R20" s="32">
        <f t="shared" ca="1" si="5"/>
        <v>1.0720770499060812</v>
      </c>
      <c r="S20" s="17">
        <f t="shared" ca="1" si="6"/>
        <v>-20.593255962106021</v>
      </c>
      <c r="T20" s="24">
        <f t="shared" ca="1" si="7"/>
        <v>7905.1235852774698</v>
      </c>
      <c r="U20" s="24">
        <f t="shared" ca="1" si="8"/>
        <v>7919.3629104296106</v>
      </c>
      <c r="V20" s="24">
        <f ca="1">S19*(O20-O19)*futMult</f>
        <v>-7919.3629104296106</v>
      </c>
      <c r="W20" s="24">
        <f ca="1">T20+V20</f>
        <v>-14.239325152140736</v>
      </c>
      <c r="X20" s="24">
        <f ca="1">X19+T20</f>
        <v>80424.745097214254</v>
      </c>
      <c r="Y20" s="24">
        <f t="shared" ca="1" si="9"/>
        <v>10802.757706474958</v>
      </c>
      <c r="Z20" s="24"/>
    </row>
    <row r="21" spans="2:26" x14ac:dyDescent="0.25">
      <c r="B21" s="13" t="s">
        <v>17</v>
      </c>
      <c r="C21" s="31">
        <f>EXP((interestRate-dividend)*time)*futMult</f>
        <v>250</v>
      </c>
      <c r="F21" s="18">
        <f t="shared" si="2"/>
        <v>18</v>
      </c>
      <c r="G21">
        <f t="shared" si="0"/>
        <v>7.1428571428571425E-2</v>
      </c>
      <c r="H21" s="8">
        <v>-9.558126564961824E-3</v>
      </c>
      <c r="I21" s="8">
        <f ca="1">(interestRate-dividend-0.5*sigma^2)*1/252+sigma*SQRT(1/252)*_xlfn.NORM.S.INV(RAND())</f>
        <v>1.448721203316967E-3</v>
      </c>
      <c r="J21" s="27">
        <f t="shared" ca="1" si="3"/>
        <v>112.22976183100819</v>
      </c>
      <c r="K21" s="20">
        <f t="shared" ca="1" si="4"/>
        <v>112.22976183100819</v>
      </c>
      <c r="L21" s="20">
        <f ca="1">BlackScholes(OptType,"Price",K21,Strike,time-G21,0,sigma,interestRate,dividend)</f>
        <v>10.176518067063066</v>
      </c>
      <c r="M21" s="21">
        <f ca="1">L21*units*optMult*IF(Side="Short",-1,1)</f>
        <v>-101765.18067063067</v>
      </c>
      <c r="N21" s="6">
        <f ca="1">BlackScholes(OptType,"Delta",K21,Strike,time-G21,0,sigma,interestRate,dividend)*IF(Side="Short",-1,1)*units*optMult</f>
        <v>5120.3007724711406</v>
      </c>
      <c r="O21" s="6">
        <f ca="1">K21*EXP((interestRate-dividend)*(time-G21))</f>
        <v>112.22976183100819</v>
      </c>
      <c r="P21" s="19">
        <f>EXP((interestRate-dividend)*(time-G21))*futMult</f>
        <v>250</v>
      </c>
      <c r="Q21">
        <f t="shared" ca="1" si="1"/>
        <v>-20.481203089884563</v>
      </c>
      <c r="R21" s="32">
        <f t="shared" ca="1" si="5"/>
        <v>0.11205287222145799</v>
      </c>
      <c r="S21" s="17">
        <f t="shared" ca="1" si="6"/>
        <v>-20.481203089884563</v>
      </c>
      <c r="T21" s="24">
        <f t="shared" ca="1" si="7"/>
        <v>1018.1257064884121</v>
      </c>
      <c r="U21" s="24">
        <f t="shared" ca="1" si="8"/>
        <v>836.45645331861397</v>
      </c>
      <c r="V21" s="24">
        <f ca="1">S20*(O21-O20)*futMult</f>
        <v>-836.45645331861397</v>
      </c>
      <c r="W21" s="24">
        <f ca="1">T21+V21</f>
        <v>181.66925316979814</v>
      </c>
      <c r="X21" s="24">
        <f ca="1">X20+T21</f>
        <v>81442.870803702666</v>
      </c>
      <c r="Y21" s="24">
        <f t="shared" ca="1" si="9"/>
        <v>9966.3012531563436</v>
      </c>
      <c r="Z21" s="24"/>
    </row>
    <row r="22" spans="2:26" ht="15.75" thickBot="1" x14ac:dyDescent="0.3">
      <c r="B22" s="15" t="s">
        <v>22</v>
      </c>
      <c r="C22" s="26">
        <v>0.15</v>
      </c>
      <c r="F22" s="18">
        <f t="shared" si="2"/>
        <v>19</v>
      </c>
      <c r="G22">
        <f t="shared" si="0"/>
        <v>7.5396825396825393E-2</v>
      </c>
      <c r="H22" s="8">
        <v>-2.8576023641867156E-2</v>
      </c>
      <c r="I22" s="8">
        <f ca="1">(interestRate-dividend-0.5*sigma^2)*1/252+sigma*SQRT(1/252)*_xlfn.NORM.S.INV(RAND())</f>
        <v>-1.2664456706614646E-2</v>
      </c>
      <c r="J22" s="27">
        <f t="shared" ca="1" si="3"/>
        <v>110.81739517650665</v>
      </c>
      <c r="K22" s="20">
        <f t="shared" ca="1" si="4"/>
        <v>110.81739517650665</v>
      </c>
      <c r="L22" s="20">
        <f ca="1">BlackScholes(OptType,"Price",K22,Strike,time-G22,0,sigma,interestRate,dividend)</f>
        <v>10.899997791174153</v>
      </c>
      <c r="M22" s="21">
        <f ca="1">L22*units*optMult*IF(Side="Short",-1,1)</f>
        <v>-108999.97791174153</v>
      </c>
      <c r="N22" s="6">
        <f ca="1">BlackScholes(OptType,"Delta",K22,Strike,time-G22,0,sigma,interestRate,dividend)*IF(Side="Short",-1,1)*units*optMult</f>
        <v>5384.3442887630335</v>
      </c>
      <c r="O22" s="6">
        <f ca="1">K22*EXP((interestRate-dividend)*(time-G22))</f>
        <v>110.81739517650665</v>
      </c>
      <c r="P22" s="19">
        <f>EXP((interestRate-dividend)*(time-G22))*futMult</f>
        <v>250</v>
      </c>
      <c r="Q22">
        <f t="shared" ca="1" si="1"/>
        <v>-21.537377155052134</v>
      </c>
      <c r="R22" s="32">
        <f t="shared" ca="1" si="5"/>
        <v>-1.0561740651675713</v>
      </c>
      <c r="S22" s="17">
        <f t="shared" ca="1" si="6"/>
        <v>-21.537377155052134</v>
      </c>
      <c r="T22" s="24">
        <f t="shared" ca="1" si="7"/>
        <v>-7234.797241110864</v>
      </c>
      <c r="U22" s="24">
        <f t="shared" ca="1" si="8"/>
        <v>-7231.7420720567143</v>
      </c>
      <c r="V22" s="24">
        <f ca="1">S21*(O22-O21)*futMult</f>
        <v>7231.7420720567143</v>
      </c>
      <c r="W22" s="24">
        <f ca="1">T22+V22</f>
        <v>-3.055169054149701</v>
      </c>
      <c r="X22" s="24">
        <f ca="1">X21+T22</f>
        <v>74208.073562591802</v>
      </c>
      <c r="Y22" s="24">
        <f t="shared" ca="1" si="9"/>
        <v>17198.043325213057</v>
      </c>
      <c r="Z22" s="24"/>
    </row>
    <row r="23" spans="2:26" ht="15.75" thickBot="1" x14ac:dyDescent="0.3">
      <c r="F23" s="18">
        <f t="shared" si="2"/>
        <v>20</v>
      </c>
      <c r="G23">
        <f t="shared" si="0"/>
        <v>7.9365079365079361E-2</v>
      </c>
      <c r="H23" s="8">
        <v>9.4113218270938716E-5</v>
      </c>
      <c r="I23" s="8">
        <f ca="1">(interestRate-dividend-0.5*sigma^2)*1/252+sigma*SQRT(1/252)*_xlfn.NORM.S.INV(RAND())</f>
        <v>1.3940117481056852E-2</v>
      </c>
      <c r="J23" s="27">
        <f t="shared" ca="1" si="3"/>
        <v>112.3730202910729</v>
      </c>
      <c r="K23" s="20">
        <f t="shared" ca="1" si="4"/>
        <v>112.3730202910729</v>
      </c>
      <c r="L23" s="20">
        <f ca="1">BlackScholes(OptType,"Price",K23,Strike,time-G23,0,sigma,interestRate,dividend)</f>
        <v>10.066363226037581</v>
      </c>
      <c r="M23" s="21">
        <f ca="1">L23*units*optMult*IF(Side="Short",-1,1)</f>
        <v>-100663.63226037582</v>
      </c>
      <c r="N23" s="6">
        <f ca="1">BlackScholes(OptType,"Delta",K23,Strike,time-G23,0,sigma,interestRate,dividend)*IF(Side="Short",-1,1)*units*optMult</f>
        <v>5097.6067562177832</v>
      </c>
      <c r="O23" s="6">
        <f ca="1">K23*EXP((interestRate-dividend)*(time-G23))</f>
        <v>112.3730202910729</v>
      </c>
      <c r="P23" s="19">
        <f>EXP((interestRate-dividend)*(time-G23))*futMult</f>
        <v>250</v>
      </c>
      <c r="Q23">
        <f t="shared" ca="1" si="1"/>
        <v>-20.390427024871133</v>
      </c>
      <c r="R23" s="32">
        <f t="shared" ca="1" si="5"/>
        <v>1.1469501301810006</v>
      </c>
      <c r="S23" s="17">
        <f t="shared" ca="1" si="6"/>
        <v>-20.390427024871133</v>
      </c>
      <c r="T23" s="24">
        <f t="shared" ca="1" si="7"/>
        <v>8336.3456513657147</v>
      </c>
      <c r="U23" s="24">
        <f t="shared" ca="1" si="8"/>
        <v>8376.0212010711512</v>
      </c>
      <c r="V23" s="24">
        <f ca="1">S22*(O23-O22)*futMult</f>
        <v>-8376.0212010711512</v>
      </c>
      <c r="W23" s="24">
        <f ca="1">T23+V23</f>
        <v>-39.675549705436424</v>
      </c>
      <c r="X23" s="24">
        <f ca="1">X22+T23</f>
        <v>82544.419213957517</v>
      </c>
      <c r="Y23" s="24">
        <f t="shared" ca="1" si="9"/>
        <v>8822.0221241419058</v>
      </c>
      <c r="Z23" s="24"/>
    </row>
    <row r="24" spans="2:26" x14ac:dyDescent="0.25">
      <c r="B24" s="9" t="s">
        <v>30</v>
      </c>
      <c r="C24" s="10"/>
      <c r="F24" s="18">
        <f t="shared" si="2"/>
        <v>21</v>
      </c>
      <c r="G24">
        <f t="shared" si="0"/>
        <v>8.3333333333333329E-2</v>
      </c>
      <c r="H24" s="8">
        <v>1.3924807961060021E-2</v>
      </c>
      <c r="I24" s="8">
        <f ca="1">(interestRate-dividend-0.5*sigma^2)*1/252+sigma*SQRT(1/252)*_xlfn.NORM.S.INV(RAND())</f>
        <v>-1.081052696576556E-2</v>
      </c>
      <c r="J24" s="27">
        <f t="shared" ca="1" si="3"/>
        <v>111.16475150340302</v>
      </c>
      <c r="K24" s="20">
        <f t="shared" ca="1" si="4"/>
        <v>111.16475150340302</v>
      </c>
      <c r="L24" s="20">
        <f ca="1">BlackScholes(OptType,"Price",K24,Strike,time-G24,0,sigma,interestRate,dividend)</f>
        <v>10.677529288641736</v>
      </c>
      <c r="M24" s="21">
        <f ca="1">L24*units*optMult*IF(Side="Short",-1,1)</f>
        <v>-106775.29288641736</v>
      </c>
      <c r="N24" s="6">
        <f ca="1">BlackScholes(OptType,"Delta",K24,Strike,time-G24,0,sigma,interestRate,dividend)*IF(Side="Short",-1,1)*units*optMult</f>
        <v>5324.3502925840812</v>
      </c>
      <c r="O24" s="6">
        <f ca="1">K24*EXP((interestRate-dividend)*(time-G24))</f>
        <v>111.16475150340302</v>
      </c>
      <c r="P24" s="19">
        <f>EXP((interestRate-dividend)*(time-G24))*futMult</f>
        <v>250</v>
      </c>
      <c r="Q24">
        <f t="shared" ca="1" si="1"/>
        <v>-21.297401170336325</v>
      </c>
      <c r="R24" s="32">
        <f t="shared" ca="1" si="5"/>
        <v>-0.90697414546519184</v>
      </c>
      <c r="S24" s="17">
        <f t="shared" ca="1" si="6"/>
        <v>-21.297401170336325</v>
      </c>
      <c r="T24" s="24">
        <f t="shared" ca="1" si="7"/>
        <v>-6111.6606260415429</v>
      </c>
      <c r="U24" s="24">
        <f t="shared" ca="1" si="8"/>
        <v>-6159.2791353530502</v>
      </c>
      <c r="V24" s="24">
        <f ca="1">S23*(O24-O23)*futMult</f>
        <v>6159.2791353530502</v>
      </c>
      <c r="W24" s="24">
        <f ca="1">T24+V24</f>
        <v>47.618509311507296</v>
      </c>
      <c r="X24" s="24">
        <f ca="1">X23+T24</f>
        <v>76432.758587915974</v>
      </c>
      <c r="Y24" s="24">
        <f t="shared" ca="1" si="9"/>
        <v>14981.301259494956</v>
      </c>
      <c r="Z24" s="24"/>
    </row>
    <row r="25" spans="2:26" ht="15.75" thickBot="1" x14ac:dyDescent="0.3">
      <c r="B25" s="15" t="s">
        <v>31</v>
      </c>
      <c r="C25" s="28" t="s">
        <v>32</v>
      </c>
      <c r="F25" s="18">
        <f t="shared" si="2"/>
        <v>22</v>
      </c>
      <c r="G25">
        <f t="shared" si="0"/>
        <v>8.7301587301587297E-2</v>
      </c>
      <c r="H25" s="8">
        <v>3.7702516835772734E-2</v>
      </c>
      <c r="I25" s="8">
        <f ca="1">(interestRate-dividend-0.5*sigma^2)*1/252+sigma*SQRT(1/252)*_xlfn.NORM.S.INV(RAND())</f>
        <v>1.9676038214664057E-2</v>
      </c>
      <c r="J25" s="27">
        <f t="shared" ca="1" si="3"/>
        <v>113.37369375327735</v>
      </c>
      <c r="K25" s="20">
        <f t="shared" ca="1" si="4"/>
        <v>113.37369375327735</v>
      </c>
      <c r="L25" s="20">
        <f ca="1">BlackScholes(OptType,"Price",K25,Strike,time-G25,0,sigma,interestRate,dividend)</f>
        <v>9.5280092850416409</v>
      </c>
      <c r="M25" s="21">
        <f ca="1">L25*units*optMult*IF(Side="Short",-1,1)</f>
        <v>-95280.092850416404</v>
      </c>
      <c r="N25" s="6">
        <f ca="1">BlackScholes(OptType,"Delta",K25,Strike,time-G25,0,sigma,interestRate,dividend)*IF(Side="Short",-1,1)*units*optMult</f>
        <v>4916.2544498651005</v>
      </c>
      <c r="O25" s="6">
        <f ca="1">K25*EXP((interestRate-dividend)*(time-G25))</f>
        <v>113.37369375327735</v>
      </c>
      <c r="P25" s="19">
        <f>EXP((interestRate-dividend)*(time-G25))*futMult</f>
        <v>250</v>
      </c>
      <c r="Q25">
        <f t="shared" ca="1" si="1"/>
        <v>-19.665017799460401</v>
      </c>
      <c r="R25" s="32">
        <f t="shared" ca="1" si="5"/>
        <v>1.6323833708759246</v>
      </c>
      <c r="S25" s="17">
        <f t="shared" ca="1" si="6"/>
        <v>-19.665017799460401</v>
      </c>
      <c r="T25" s="24">
        <f t="shared" ca="1" si="7"/>
        <v>11495.200036000955</v>
      </c>
      <c r="U25" s="24">
        <f t="shared" ca="1" si="8"/>
        <v>11761.182314419706</v>
      </c>
      <c r="V25" s="24">
        <f ca="1">S24*(O25-O24)*futMult</f>
        <v>-11761.182314419706</v>
      </c>
      <c r="W25" s="24">
        <f ca="1">T25+V25</f>
        <v>-265.98227841875087</v>
      </c>
      <c r="X25" s="24">
        <f ca="1">X24+T25</f>
        <v>87927.958623916929</v>
      </c>
      <c r="Y25" s="24">
        <f t="shared" ca="1" si="9"/>
        <v>3220.1189450752499</v>
      </c>
      <c r="Z25" s="24"/>
    </row>
    <row r="26" spans="2:26" x14ac:dyDescent="0.25">
      <c r="F26" s="18">
        <f t="shared" si="2"/>
        <v>23</v>
      </c>
      <c r="G26">
        <f t="shared" si="0"/>
        <v>9.1269841269841265E-2</v>
      </c>
      <c r="H26" s="8">
        <v>1.0719072040183363E-3</v>
      </c>
      <c r="I26" s="8">
        <f ca="1">(interestRate-dividend-0.5*sigma^2)*1/252+sigma*SQRT(1/252)*_xlfn.NORM.S.INV(RAND())</f>
        <v>1.7572553912490088E-2</v>
      </c>
      <c r="J26" s="27">
        <f t="shared" ca="1" si="3"/>
        <v>115.38356667962481</v>
      </c>
      <c r="K26" s="20">
        <f t="shared" ca="1" si="4"/>
        <v>115.38356667962481</v>
      </c>
      <c r="L26" s="20">
        <f ca="1">BlackScholes(OptType,"Price",K26,Strike,time-G26,0,sigma,interestRate,dividend)</f>
        <v>8.5578066296488693</v>
      </c>
      <c r="M26" s="21">
        <f ca="1">L26*units*optMult*IF(Side="Short",-1,1)</f>
        <v>-85578.066296488687</v>
      </c>
      <c r="N26" s="6">
        <f ca="1">BlackScholes(OptType,"Delta",K26,Strike,time-G26,0,sigma,interestRate,dividend)*IF(Side="Short",-1,1)*units*optMult</f>
        <v>4550.975367927841</v>
      </c>
      <c r="O26" s="6">
        <f ca="1">K26*EXP((interestRate-dividend)*(time-G26))</f>
        <v>115.38356667962481</v>
      </c>
      <c r="P26" s="19">
        <f>EXP((interestRate-dividend)*(time-G26))*futMult</f>
        <v>250</v>
      </c>
      <c r="Q26">
        <f t="shared" ca="1" si="1"/>
        <v>-18.203901471711365</v>
      </c>
      <c r="R26" s="32">
        <f t="shared" ca="1" si="5"/>
        <v>1.4611163277490355</v>
      </c>
      <c r="S26" s="17">
        <f t="shared" ca="1" si="6"/>
        <v>-18.203901471711365</v>
      </c>
      <c r="T26" s="24">
        <f t="shared" ca="1" si="7"/>
        <v>9702.026553927717</v>
      </c>
      <c r="U26" s="24">
        <f t="shared" ca="1" si="8"/>
        <v>9881.0467178190684</v>
      </c>
      <c r="V26" s="24">
        <f ca="1">S25*(O26-O25)*futMult</f>
        <v>-9881.0467178190684</v>
      </c>
      <c r="W26" s="24">
        <f ca="1">T26+V26</f>
        <v>-179.02016389135133</v>
      </c>
      <c r="X26" s="24">
        <f ca="1">X25+T26</f>
        <v>97629.985177844646</v>
      </c>
      <c r="Y26" s="24">
        <f t="shared" ca="1" si="9"/>
        <v>-6660.9277727438184</v>
      </c>
      <c r="Z26" s="24"/>
    </row>
    <row r="27" spans="2:26" x14ac:dyDescent="0.25">
      <c r="F27" s="18">
        <f t="shared" si="2"/>
        <v>24</v>
      </c>
      <c r="G27">
        <f t="shared" si="0"/>
        <v>9.5238095238095233E-2</v>
      </c>
      <c r="H27" s="8">
        <v>-2.4949319047948615E-2</v>
      </c>
      <c r="I27" s="8">
        <f ca="1">(interestRate-dividend-0.5*sigma^2)*1/252+sigma*SQRT(1/252)*_xlfn.NORM.S.INV(RAND())</f>
        <v>-3.0345211869599934E-2</v>
      </c>
      <c r="J27" s="27">
        <f t="shared" ca="1" si="3"/>
        <v>111.93481903051465</v>
      </c>
      <c r="K27" s="20">
        <f t="shared" ca="1" si="4"/>
        <v>111.93481903051465</v>
      </c>
      <c r="L27" s="20">
        <f ca="1">BlackScholes(OptType,"Price",K27,Strike,time-G27,0,sigma,interestRate,dividend)</f>
        <v>10.217401513380318</v>
      </c>
      <c r="M27" s="21">
        <f ca="1">L27*units*optMult*IF(Side="Short",-1,1)</f>
        <v>-102174.01513380319</v>
      </c>
      <c r="N27" s="6">
        <f ca="1">BlackScholes(OptType,"Delta",K27,Strike,time-G27,0,sigma,interestRate,dividend)*IF(Side="Short",-1,1)*units*optMult</f>
        <v>5186.9934987353536</v>
      </c>
      <c r="O27" s="6">
        <f ca="1">K27*EXP((interestRate-dividend)*(time-G27))</f>
        <v>111.93481903051465</v>
      </c>
      <c r="P27" s="19">
        <f>EXP((interestRate-dividend)*(time-G27))*futMult</f>
        <v>250</v>
      </c>
      <c r="Q27">
        <f t="shared" ca="1" si="1"/>
        <v>-20.747973994941415</v>
      </c>
      <c r="R27" s="32">
        <f t="shared" ca="1" si="5"/>
        <v>-2.5440725232300494</v>
      </c>
      <c r="S27" s="17">
        <f t="shared" ca="1" si="6"/>
        <v>-20.747973994941415</v>
      </c>
      <c r="T27" s="24">
        <f t="shared" ca="1" si="7"/>
        <v>-16595.9488373145</v>
      </c>
      <c r="U27" s="24">
        <f t="shared" ca="1" si="8"/>
        <v>-15695.165601299388</v>
      </c>
      <c r="V27" s="24">
        <f ca="1">S26*(O27-O26)*futMult</f>
        <v>15695.16560129939</v>
      </c>
      <c r="W27" s="24">
        <f ca="1">T27+V27</f>
        <v>-900.78323601510965</v>
      </c>
      <c r="X27" s="24">
        <f ca="1">X26+T27</f>
        <v>81034.036340530147</v>
      </c>
      <c r="Y27" s="24">
        <f t="shared" ca="1" si="9"/>
        <v>9034.2378285555715</v>
      </c>
      <c r="Z27" s="24"/>
    </row>
    <row r="28" spans="2:26" x14ac:dyDescent="0.25">
      <c r="B28" s="33" t="s">
        <v>34</v>
      </c>
      <c r="F28" s="18">
        <f t="shared" si="2"/>
        <v>25</v>
      </c>
      <c r="G28">
        <f t="shared" si="0"/>
        <v>9.9206349206349201E-2</v>
      </c>
      <c r="H28" s="8">
        <v>8.8395344793897098E-3</v>
      </c>
      <c r="I28" s="8">
        <f ca="1">(interestRate-dividend-0.5*sigma^2)*1/252+sigma*SQRT(1/252)*_xlfn.NORM.S.INV(RAND())</f>
        <v>-2.8946105238829626E-2</v>
      </c>
      <c r="J28" s="27">
        <f t="shared" ca="1" si="3"/>
        <v>108.74118657568721</v>
      </c>
      <c r="K28" s="20">
        <f t="shared" ca="1" si="4"/>
        <v>108.74118657568721</v>
      </c>
      <c r="L28" s="20">
        <f ca="1">BlackScholes(OptType,"Price",K28,Strike,time-G28,0,sigma,interestRate,dividend)</f>
        <v>11.952119545460331</v>
      </c>
      <c r="M28" s="21">
        <f ca="1">L28*units*optMult*IF(Side="Short",-1,1)</f>
        <v>-119521.19545460329</v>
      </c>
      <c r="N28" s="6">
        <f ca="1">BlackScholes(OptType,"Delta",K28,Strike,time-G28,0,sigma,interestRate,dividend)*IF(Side="Short",-1,1)*units*optMult</f>
        <v>5792.2174569152512</v>
      </c>
      <c r="O28" s="6">
        <f ca="1">K28*EXP((interestRate-dividend)*(time-G28))</f>
        <v>108.74118657568721</v>
      </c>
      <c r="P28" s="19">
        <f>EXP((interestRate-dividend)*(time-G28))*futMult</f>
        <v>250</v>
      </c>
      <c r="Q28">
        <f t="shared" ca="1" si="1"/>
        <v>-23.168869827661005</v>
      </c>
      <c r="R28" s="32">
        <f t="shared" ca="1" si="5"/>
        <v>-2.4208958327195909</v>
      </c>
      <c r="S28" s="17">
        <f t="shared" ca="1" si="6"/>
        <v>-23.168869827661005</v>
      </c>
      <c r="T28" s="24">
        <f t="shared" ca="1" si="7"/>
        <v>-17347.180320800107</v>
      </c>
      <c r="U28" s="24">
        <f t="shared" ca="1" si="8"/>
        <v>-16565.350780540142</v>
      </c>
      <c r="V28" s="24">
        <f ca="1">S27*(O28-O27)*futMult</f>
        <v>16565.350780540142</v>
      </c>
      <c r="W28" s="24">
        <f ca="1">T28+V28</f>
        <v>-781.82954025996514</v>
      </c>
      <c r="X28" s="24">
        <f ca="1">X27+T28</f>
        <v>63686.856019730039</v>
      </c>
      <c r="Y28" s="24">
        <f t="shared" ca="1" si="9"/>
        <v>25599.588609095714</v>
      </c>
      <c r="Z28" s="24"/>
    </row>
    <row r="29" spans="2:26" x14ac:dyDescent="0.25">
      <c r="B29" t="s">
        <v>35</v>
      </c>
      <c r="C29" s="7">
        <f ca="1">_xlfn.STDEV.S(I4:I255)*SQRT(252)</f>
        <v>0.18710567702406161</v>
      </c>
      <c r="F29" s="18">
        <f t="shared" si="2"/>
        <v>26</v>
      </c>
      <c r="G29">
        <f t="shared" si="0"/>
        <v>0.10317460317460317</v>
      </c>
      <c r="H29" s="8">
        <v>-3.817839379659098E-3</v>
      </c>
      <c r="I29" s="8">
        <f ca="1">(interestRate-dividend-0.5*sigma^2)*1/252+sigma*SQRT(1/252)*_xlfn.NORM.S.INV(RAND())</f>
        <v>6.0705253658723413E-3</v>
      </c>
      <c r="J29" s="27">
        <f t="shared" ca="1" si="3"/>
        <v>109.40331039348443</v>
      </c>
      <c r="K29" s="20">
        <f t="shared" ca="1" si="4"/>
        <v>109.40331039348443</v>
      </c>
      <c r="L29" s="20">
        <f ca="1">BlackScholes(OptType,"Price",K29,Strike,time-G29,0,sigma,interestRate,dividend)</f>
        <v>11.554744265477503</v>
      </c>
      <c r="M29" s="21">
        <f ca="1">L29*units*optMult*IF(Side="Short",-1,1)</f>
        <v>-115547.44265477502</v>
      </c>
      <c r="N29" s="6">
        <f ca="1">BlackScholes(OptType,"Delta",K29,Strike,time-G29,0,sigma,interestRate,dividend)*IF(Side="Short",-1,1)*units*optMult</f>
        <v>5669.8867284023472</v>
      </c>
      <c r="O29" s="6">
        <f ca="1">K29*EXP((interestRate-dividend)*(time-G29))</f>
        <v>109.40331039348443</v>
      </c>
      <c r="P29" s="19">
        <f>EXP((interestRate-dividend)*(time-G29))*futMult</f>
        <v>250</v>
      </c>
      <c r="Q29">
        <f t="shared" ca="1" si="1"/>
        <v>-22.679546913609389</v>
      </c>
      <c r="R29" s="32">
        <f t="shared" ca="1" si="5"/>
        <v>0.48932291405161621</v>
      </c>
      <c r="S29" s="17">
        <f t="shared" ca="1" si="6"/>
        <v>-22.679546913609389</v>
      </c>
      <c r="T29" s="24">
        <f t="shared" ca="1" si="7"/>
        <v>3973.7527998282749</v>
      </c>
      <c r="U29" s="24">
        <f t="shared" ca="1" si="8"/>
        <v>3835.1651360844485</v>
      </c>
      <c r="V29" s="24">
        <f ca="1">S28*(O29-O28)*futMult</f>
        <v>-3835.1651360844485</v>
      </c>
      <c r="W29" s="24">
        <f ca="1">T29+V29</f>
        <v>138.5876637438264</v>
      </c>
      <c r="X29" s="24">
        <f ca="1">X28+T29</f>
        <v>67660.608819558314</v>
      </c>
      <c r="Y29" s="24">
        <f t="shared" ca="1" si="9"/>
        <v>21764.423473011266</v>
      </c>
      <c r="Z29" s="24"/>
    </row>
    <row r="30" spans="2:26" x14ac:dyDescent="0.25">
      <c r="B30" t="s">
        <v>44</v>
      </c>
      <c r="C30" s="24">
        <f ca="1">Y255</f>
        <v>-83479.960624230007</v>
      </c>
      <c r="F30" s="18">
        <f t="shared" si="2"/>
        <v>27</v>
      </c>
      <c r="G30">
        <f t="shared" si="0"/>
        <v>0.10714285714285714</v>
      </c>
      <c r="H30" s="8">
        <v>-2.7515354163806089E-2</v>
      </c>
      <c r="I30" s="8">
        <f ca="1">(interestRate-dividend-0.5*sigma^2)*1/252+sigma*SQRT(1/252)*_xlfn.NORM.S.INV(RAND())</f>
        <v>6.2666752157707322E-3</v>
      </c>
      <c r="J30" s="27">
        <f t="shared" ca="1" si="3"/>
        <v>110.09105810228857</v>
      </c>
      <c r="K30" s="20">
        <f t="shared" ca="1" si="4"/>
        <v>110.09105810228857</v>
      </c>
      <c r="L30" s="20">
        <f ca="1">BlackScholes(OptType,"Price",K30,Strike,time-G30,0,sigma,interestRate,dividend)</f>
        <v>11.151031961209311</v>
      </c>
      <c r="M30" s="21">
        <f ca="1">L30*units*optMult*IF(Side="Short",-1,1)</f>
        <v>-111510.3196120931</v>
      </c>
      <c r="N30" s="6">
        <f ca="1">BlackScholes(OptType,"Delta",K30,Strike,time-G30,0,sigma,interestRate,dividend)*IF(Side="Short",-1,1)*units*optMult</f>
        <v>5542.2651538620239</v>
      </c>
      <c r="O30" s="6">
        <f ca="1">K30*EXP((interestRate-dividend)*(time-G30))</f>
        <v>110.09105810228857</v>
      </c>
      <c r="P30" s="19">
        <f>EXP((interestRate-dividend)*(time-G30))*futMult</f>
        <v>250</v>
      </c>
      <c r="Q30">
        <f t="shared" ca="1" si="1"/>
        <v>-22.169060615448096</v>
      </c>
      <c r="R30" s="32">
        <f t="shared" ca="1" si="5"/>
        <v>0.51048629816129321</v>
      </c>
      <c r="S30" s="17">
        <f t="shared" ca="1" si="6"/>
        <v>-22.169060615448096</v>
      </c>
      <c r="T30" s="24">
        <f t="shared" ca="1" si="7"/>
        <v>4037.1230426819238</v>
      </c>
      <c r="U30" s="24">
        <f t="shared" ca="1" si="8"/>
        <v>3899.4516066377087</v>
      </c>
      <c r="V30" s="24">
        <f ca="1">S29*(O30-O29)*futMult</f>
        <v>-3899.4516066377091</v>
      </c>
      <c r="W30" s="24">
        <f ca="1">T30+V30</f>
        <v>137.67143604421472</v>
      </c>
      <c r="X30" s="24">
        <f ca="1">X29+T30</f>
        <v>71697.731862240238</v>
      </c>
      <c r="Y30" s="24">
        <f t="shared" ca="1" si="9"/>
        <v>17864.971866373555</v>
      </c>
      <c r="Z30" s="24"/>
    </row>
    <row r="31" spans="2:26" x14ac:dyDescent="0.25">
      <c r="B31" t="s">
        <v>41</v>
      </c>
      <c r="C31" s="24">
        <f ca="1">X255</f>
        <v>183208.05147433336</v>
      </c>
      <c r="F31" s="18">
        <f t="shared" si="2"/>
        <v>28</v>
      </c>
      <c r="G31">
        <f t="shared" si="0"/>
        <v>0.1111111111111111</v>
      </c>
      <c r="H31" s="8">
        <v>-7.8004248724606456E-3</v>
      </c>
      <c r="I31" s="8">
        <f ca="1">(interestRate-dividend-0.5*sigma^2)*1/252+sigma*SQRT(1/252)*_xlfn.NORM.S.INV(RAND())</f>
        <v>-1.1974756211234495E-2</v>
      </c>
      <c r="J31" s="27">
        <f t="shared" ca="1" si="3"/>
        <v>108.7806063498992</v>
      </c>
      <c r="K31" s="20">
        <f t="shared" ca="1" si="4"/>
        <v>108.7806063498992</v>
      </c>
      <c r="L31" s="20">
        <f ca="1">BlackScholes(OptType,"Price",K31,Strike,time-G31,0,sigma,interestRate,dividend)</f>
        <v>11.875760314226309</v>
      </c>
      <c r="M31" s="21">
        <f ca="1">L31*units*optMult*IF(Side="Short",-1,1)</f>
        <v>-118757.60314226309</v>
      </c>
      <c r="N31" s="6">
        <f ca="1">BlackScholes(OptType,"Delta",K31,Strike,time-G31,0,sigma,interestRate,dividend)*IF(Side="Short",-1,1)*units*optMult</f>
        <v>5794.8557829417678</v>
      </c>
      <c r="O31" s="6">
        <f ca="1">K31*EXP((interestRate-dividend)*(time-G31))</f>
        <v>108.7806063498992</v>
      </c>
      <c r="P31" s="19">
        <f>EXP((interestRate-dividend)*(time-G31))*futMult</f>
        <v>250</v>
      </c>
      <c r="Q31">
        <f t="shared" ca="1" si="1"/>
        <v>-23.17942313176707</v>
      </c>
      <c r="R31" s="32">
        <f t="shared" ca="1" si="5"/>
        <v>-1.010362516318974</v>
      </c>
      <c r="S31" s="17">
        <f t="shared" ca="1" si="6"/>
        <v>-23.17942313176707</v>
      </c>
      <c r="T31" s="24">
        <f t="shared" ca="1" si="7"/>
        <v>-7247.2835301699961</v>
      </c>
      <c r="U31" s="24">
        <f t="shared" ca="1" si="8"/>
        <v>-7262.871083085025</v>
      </c>
      <c r="V31" s="24">
        <f ca="1">S30*(O31-O30)*futMult</f>
        <v>7262.8710830850259</v>
      </c>
      <c r="W31" s="24">
        <f ca="1">T31+V31</f>
        <v>15.587552915029846</v>
      </c>
      <c r="X31" s="24">
        <f ca="1">X30+T31</f>
        <v>64450.448332070242</v>
      </c>
      <c r="Y31" s="24">
        <f t="shared" ca="1" si="9"/>
        <v>25127.84294945858</v>
      </c>
      <c r="Z31" s="24"/>
    </row>
    <row r="32" spans="2:26" x14ac:dyDescent="0.25">
      <c r="B32" t="s">
        <v>43</v>
      </c>
      <c r="C32" s="24">
        <f ca="1">C31+C30</f>
        <v>99728.090850103355</v>
      </c>
      <c r="F32" s="18">
        <f t="shared" si="2"/>
        <v>29</v>
      </c>
      <c r="G32">
        <f t="shared" si="0"/>
        <v>0.11507936507936507</v>
      </c>
      <c r="H32" s="8">
        <v>2.5431019803724732E-2</v>
      </c>
      <c r="I32" s="8">
        <f ca="1">(interestRate-dividend-0.5*sigma^2)*1/252+sigma*SQRT(1/252)*_xlfn.NORM.S.INV(RAND())</f>
        <v>-1.1353284021984055E-2</v>
      </c>
      <c r="J32" s="27">
        <f t="shared" ca="1" si="3"/>
        <v>107.55257352344853</v>
      </c>
      <c r="K32" s="20">
        <f t="shared" ca="1" si="4"/>
        <v>107.55257352344853</v>
      </c>
      <c r="L32" s="20">
        <f ca="1">BlackScholes(OptType,"Price",K32,Strike,time-G32,0,sigma,interestRate,dividend)</f>
        <v>12.584280247711964</v>
      </c>
      <c r="M32" s="21">
        <f ca="1">L32*units*optMult*IF(Side="Short",-1,1)</f>
        <v>-125842.80247711965</v>
      </c>
      <c r="N32" s="6">
        <f ca="1">BlackScholes(OptType,"Delta",K32,Strike,time-G32,0,sigma,interestRate,dividend)*IF(Side="Short",-1,1)*units*optMult</f>
        <v>6032.5964841612722</v>
      </c>
      <c r="O32" s="6">
        <f ca="1">K32*EXP((interestRate-dividend)*(time-G32))</f>
        <v>107.55257352344853</v>
      </c>
      <c r="P32" s="19">
        <f>EXP((interestRate-dividend)*(time-G32))*futMult</f>
        <v>250</v>
      </c>
      <c r="Q32">
        <f t="shared" ca="1" si="1"/>
        <v>-24.130385936645087</v>
      </c>
      <c r="R32" s="32">
        <f t="shared" ca="1" si="5"/>
        <v>-0.95096280487801721</v>
      </c>
      <c r="S32" s="17">
        <f t="shared" ca="1" si="6"/>
        <v>-24.130385936645087</v>
      </c>
      <c r="T32" s="24">
        <f t="shared" ca="1" si="7"/>
        <v>-7085.1993348565593</v>
      </c>
      <c r="U32" s="24">
        <f t="shared" ca="1" si="8"/>
        <v>-7116.2731260000019</v>
      </c>
      <c r="V32" s="24">
        <f ca="1">S31*(O32-O31)*futMult</f>
        <v>7116.273126000001</v>
      </c>
      <c r="W32" s="24">
        <f ca="1">T32+V32</f>
        <v>31.073791143441667</v>
      </c>
      <c r="X32" s="24">
        <f ca="1">X31+T32</f>
        <v>57365.248997213683</v>
      </c>
      <c r="Y32" s="24">
        <f t="shared" ca="1" si="9"/>
        <v>32244.11607545858</v>
      </c>
      <c r="Z32" s="24"/>
    </row>
    <row r="33" spans="2:26" x14ac:dyDescent="0.25">
      <c r="B33" t="s">
        <v>42</v>
      </c>
      <c r="C33" s="5" t="str">
        <f ca="1">IF(K255&lt;Strike,"Yes","No")</f>
        <v>No</v>
      </c>
      <c r="F33" s="18">
        <f t="shared" si="2"/>
        <v>30</v>
      </c>
      <c r="G33">
        <f t="shared" si="0"/>
        <v>0.11904761904761904</v>
      </c>
      <c r="H33" s="8">
        <v>7.605296198587139E-3</v>
      </c>
      <c r="I33" s="8">
        <f ca="1">(interestRate-dividend-0.5*sigma^2)*1/252+sigma*SQRT(1/252)*_xlfn.NORM.S.INV(RAND())</f>
        <v>5.1050685858819997E-4</v>
      </c>
      <c r="J33" s="27">
        <f t="shared" ca="1" si="3"/>
        <v>107.60749386730441</v>
      </c>
      <c r="K33" s="20">
        <f t="shared" ca="1" si="4"/>
        <v>107.60749386730441</v>
      </c>
      <c r="L33" s="20">
        <f ca="1">BlackScholes(OptType,"Price",K33,Strike,time-G33,0,sigma,interestRate,dividend)</f>
        <v>12.533648819784426</v>
      </c>
      <c r="M33" s="21">
        <f ca="1">L33*units*optMult*IF(Side="Short",-1,1)</f>
        <v>-125336.48819784426</v>
      </c>
      <c r="N33" s="6">
        <f ca="1">BlackScholes(OptType,"Delta",K33,Strike,time-G33,0,sigma,interestRate,dividend)*IF(Side="Short",-1,1)*units*optMult</f>
        <v>6026.0114401304809</v>
      </c>
      <c r="O33" s="6">
        <f ca="1">K33*EXP((interestRate-dividend)*(time-G33))</f>
        <v>107.60749386730441</v>
      </c>
      <c r="P33" s="19">
        <f>EXP((interestRate-dividend)*(time-G33))*futMult</f>
        <v>250</v>
      </c>
      <c r="Q33">
        <f t="shared" ca="1" si="1"/>
        <v>-24.104045760521924</v>
      </c>
      <c r="R33" s="32">
        <f t="shared" ca="1" si="5"/>
        <v>2.6340176123163417E-2</v>
      </c>
      <c r="S33" s="17">
        <f t="shared" ca="1" si="6"/>
        <v>-24.104045760521924</v>
      </c>
      <c r="T33" s="24">
        <f t="shared" ca="1" si="7"/>
        <v>506.31427927539335</v>
      </c>
      <c r="U33" s="24">
        <f t="shared" ca="1" si="8"/>
        <v>331.31227325393036</v>
      </c>
      <c r="V33" s="24">
        <f ca="1">S32*(O33-O32)*futMult</f>
        <v>-331.3122732539303</v>
      </c>
      <c r="W33" s="24">
        <f ca="1">T33+V33</f>
        <v>175.00200602146305</v>
      </c>
      <c r="X33" s="24">
        <f ca="1">X32+T33</f>
        <v>57871.563276489076</v>
      </c>
      <c r="Y33" s="24">
        <f t="shared" ca="1" si="9"/>
        <v>31912.803802204649</v>
      </c>
      <c r="Z33" s="24"/>
    </row>
    <row r="34" spans="2:26" x14ac:dyDescent="0.25">
      <c r="F34" s="18">
        <f t="shared" si="2"/>
        <v>31</v>
      </c>
      <c r="G34">
        <f t="shared" si="0"/>
        <v>0.12301587301587301</v>
      </c>
      <c r="H34" s="8">
        <v>2.5682871418115299E-2</v>
      </c>
      <c r="I34" s="8">
        <f ca="1">(interestRate-dividend-0.5*sigma^2)*1/252+sigma*SQRT(1/252)*_xlfn.NORM.S.INV(RAND())</f>
        <v>2.0514734033352394E-2</v>
      </c>
      <c r="J34" s="27">
        <f t="shared" ca="1" si="3"/>
        <v>109.83783216237617</v>
      </c>
      <c r="K34" s="20">
        <f t="shared" ca="1" si="4"/>
        <v>109.83783216237617</v>
      </c>
      <c r="L34" s="20">
        <f ca="1">BlackScholes(OptType,"Price",K34,Strike,time-G34,0,sigma,interestRate,dividend)</f>
        <v>11.218874373491596</v>
      </c>
      <c r="M34" s="21">
        <f ca="1">L34*units*optMult*IF(Side="Short",-1,1)</f>
        <v>-112188.74373491596</v>
      </c>
      <c r="N34" s="6">
        <f ca="1">BlackScholes(OptType,"Delta",K34,Strike,time-G34,0,sigma,interestRate,dividend)*IF(Side="Short",-1,1)*units*optMult</f>
        <v>5602.3513821267161</v>
      </c>
      <c r="O34" s="6">
        <f ca="1">K34*EXP((interestRate-dividend)*(time-G34))</f>
        <v>109.83783216237617</v>
      </c>
      <c r="P34" s="19">
        <f>EXP((interestRate-dividend)*(time-G34))*futMult</f>
        <v>250</v>
      </c>
      <c r="Q34">
        <f t="shared" ca="1" si="1"/>
        <v>-22.409405528506863</v>
      </c>
      <c r="R34" s="32">
        <f t="shared" ca="1" si="5"/>
        <v>1.6946402320150611</v>
      </c>
      <c r="S34" s="17">
        <f t="shared" ca="1" si="6"/>
        <v>-22.409405528506863</v>
      </c>
      <c r="T34" s="24">
        <f t="shared" ca="1" si="7"/>
        <v>13147.744462928298</v>
      </c>
      <c r="U34" s="24">
        <f t="shared" ca="1" si="8"/>
        <v>13440.04408146354</v>
      </c>
      <c r="V34" s="24">
        <f ca="1">S33*(O34-O33)*futMult</f>
        <v>-13440.044081463542</v>
      </c>
      <c r="W34" s="24">
        <f ca="1">T34+V34</f>
        <v>-292.29961853524401</v>
      </c>
      <c r="X34" s="24">
        <f ca="1">X33+T34</f>
        <v>71019.307739417374</v>
      </c>
      <c r="Y34" s="24">
        <f t="shared" ca="1" si="9"/>
        <v>18472.759720741109</v>
      </c>
      <c r="Z34" s="24"/>
    </row>
    <row r="35" spans="2:26" x14ac:dyDescent="0.25">
      <c r="F35" s="18">
        <f t="shared" si="2"/>
        <v>32</v>
      </c>
      <c r="G35">
        <f t="shared" si="0"/>
        <v>0.12698412698412698</v>
      </c>
      <c r="H35" s="8">
        <v>5.1468744375252886E-3</v>
      </c>
      <c r="I35" s="8">
        <f ca="1">(interestRate-dividend-0.5*sigma^2)*1/252+sigma*SQRT(1/252)*_xlfn.NORM.S.INV(RAND())</f>
        <v>8.1955087683539644E-4</v>
      </c>
      <c r="J35" s="27">
        <f t="shared" ca="1" si="3"/>
        <v>109.92788675115263</v>
      </c>
      <c r="K35" s="20">
        <f t="shared" ca="1" si="4"/>
        <v>109.92788675115263</v>
      </c>
      <c r="L35" s="20">
        <f ca="1">BlackScholes(OptType,"Price",K35,Strike,time-G35,0,sigma,interestRate,dividend)</f>
        <v>11.150097517869822</v>
      </c>
      <c r="M35" s="21">
        <f ca="1">L35*units*optMult*IF(Side="Short",-1,1)</f>
        <v>-111500.97517869822</v>
      </c>
      <c r="N35" s="6">
        <f ca="1">BlackScholes(OptType,"Delta",K35,Strike,time-G35,0,sigma,interestRate,dividend)*IF(Side="Short",-1,1)*units*optMult</f>
        <v>5588.0830391318923</v>
      </c>
      <c r="O35" s="6">
        <f ca="1">K35*EXP((interestRate-dividend)*(time-G35))</f>
        <v>109.92788675115263</v>
      </c>
      <c r="P35" s="19">
        <f>EXP((interestRate-dividend)*(time-G35))*futMult</f>
        <v>250</v>
      </c>
      <c r="Q35">
        <f t="shared" ca="1" si="1"/>
        <v>-22.35233215652757</v>
      </c>
      <c r="R35" s="32">
        <f t="shared" ca="1" si="5"/>
        <v>5.7073371979292631E-2</v>
      </c>
      <c r="S35" s="17">
        <f t="shared" ca="1" si="6"/>
        <v>-22.35233215652757</v>
      </c>
      <c r="T35" s="24">
        <f t="shared" ca="1" si="7"/>
        <v>687.76855621773575</v>
      </c>
      <c r="U35" s="24">
        <f t="shared" ca="1" si="8"/>
        <v>504.51744989861828</v>
      </c>
      <c r="V35" s="24">
        <f ca="1">S34*(O35-O34)*futMult</f>
        <v>-504.51744989861822</v>
      </c>
      <c r="W35" s="24">
        <f ca="1">T35+V35</f>
        <v>183.25110631911753</v>
      </c>
      <c r="X35" s="24">
        <f ca="1">X34+T35</f>
        <v>71707.07629563511</v>
      </c>
      <c r="Y35" s="24">
        <f t="shared" ca="1" si="9"/>
        <v>17968.242270842489</v>
      </c>
      <c r="Z35" s="24"/>
    </row>
    <row r="36" spans="2:26" x14ac:dyDescent="0.25">
      <c r="F36" s="18">
        <f t="shared" si="2"/>
        <v>33</v>
      </c>
      <c r="G36">
        <f t="shared" si="0"/>
        <v>0.13095238095238096</v>
      </c>
      <c r="H36" s="8">
        <v>1.0615712249586033E-3</v>
      </c>
      <c r="I36" s="8">
        <f ca="1">(interestRate-dividend-0.5*sigma^2)*1/252+sigma*SQRT(1/252)*_xlfn.NORM.S.INV(RAND())</f>
        <v>-1.7253554089727806E-2</v>
      </c>
      <c r="J36" s="27">
        <f t="shared" ca="1" si="3"/>
        <v>108.0475082635889</v>
      </c>
      <c r="K36" s="20">
        <f t="shared" ca="1" si="4"/>
        <v>108.0475082635889</v>
      </c>
      <c r="L36" s="20">
        <f ca="1">BlackScholes(OptType,"Price",K36,Strike,time-G36,0,sigma,interestRate,dividend)</f>
        <v>12.217041149344549</v>
      </c>
      <c r="M36" s="21">
        <f ca="1">L36*units*optMult*IF(Side="Short",-1,1)</f>
        <v>-122170.4114934455</v>
      </c>
      <c r="N36" s="6">
        <f ca="1">BlackScholes(OptType,"Delta",K36,Strike,time-G36,0,sigma,interestRate,dividend)*IF(Side="Short",-1,1)*units*optMult</f>
        <v>5953.1971482361823</v>
      </c>
      <c r="O36" s="6">
        <f ca="1">K36*EXP((interestRate-dividend)*(time-G36))</f>
        <v>108.0475082635889</v>
      </c>
      <c r="P36" s="19">
        <f>EXP((interestRate-dividend)*(time-G36))*futMult</f>
        <v>250</v>
      </c>
      <c r="Q36">
        <f t="shared" ca="1" si="1"/>
        <v>-23.812788592944731</v>
      </c>
      <c r="R36" s="32">
        <f t="shared" ca="1" si="5"/>
        <v>-1.4604564364171608</v>
      </c>
      <c r="S36" s="17">
        <f t="shared" ca="1" si="6"/>
        <v>-23.812788592944731</v>
      </c>
      <c r="T36" s="24">
        <f t="shared" ca="1" si="7"/>
        <v>-10669.436314747276</v>
      </c>
      <c r="U36" s="24">
        <f t="shared" ca="1" si="8"/>
        <v>-10507.71113350337</v>
      </c>
      <c r="V36" s="24">
        <f ca="1">S35*(O36-O35)*futMult</f>
        <v>10507.711133503371</v>
      </c>
      <c r="W36" s="24">
        <f ca="1">T36+V36</f>
        <v>-161.72518124390444</v>
      </c>
      <c r="X36" s="24">
        <f ca="1">X35+T36</f>
        <v>61037.639980887834</v>
      </c>
      <c r="Y36" s="24">
        <f t="shared" ca="1" si="9"/>
        <v>28475.953404345863</v>
      </c>
      <c r="Z36" s="24"/>
    </row>
    <row r="37" spans="2:26" x14ac:dyDescent="0.25">
      <c r="F37" s="18">
        <f t="shared" si="2"/>
        <v>34</v>
      </c>
      <c r="G37">
        <f t="shared" si="0"/>
        <v>0.13492063492063491</v>
      </c>
      <c r="H37" s="8">
        <v>-3.5640921363988852E-2</v>
      </c>
      <c r="I37" s="8">
        <f ca="1">(interestRate-dividend-0.5*sigma^2)*1/252+sigma*SQRT(1/252)*_xlfn.NORM.S.INV(RAND())</f>
        <v>-1.1753097266734738E-3</v>
      </c>
      <c r="J37" s="27">
        <f t="shared" ca="1" si="3"/>
        <v>107.92059357282862</v>
      </c>
      <c r="K37" s="20">
        <f t="shared" ca="1" si="4"/>
        <v>107.92059357282862</v>
      </c>
      <c r="L37" s="20">
        <f ca="1">BlackScholes(OptType,"Price",K37,Strike,time-G37,0,sigma,interestRate,dividend)</f>
        <v>12.274958745064785</v>
      </c>
      <c r="M37" s="21">
        <f ca="1">L37*units*optMult*IF(Side="Short",-1,1)</f>
        <v>-122749.58745064784</v>
      </c>
      <c r="N37" s="6">
        <f ca="1">BlackScholes(OptType,"Delta",K37,Strike,time-G37,0,sigma,interestRate,dividend)*IF(Side="Short",-1,1)*units*optMult</f>
        <v>5981.4500574745762</v>
      </c>
      <c r="O37" s="6">
        <f ca="1">K37*EXP((interestRate-dividend)*(time-G37))</f>
        <v>107.92059357282862</v>
      </c>
      <c r="P37" s="19">
        <f>EXP((interestRate-dividend)*(time-G37))*futMult</f>
        <v>250</v>
      </c>
      <c r="Q37">
        <f t="shared" ca="1" si="1"/>
        <v>-23.925800229898304</v>
      </c>
      <c r="R37" s="32">
        <f t="shared" ca="1" si="5"/>
        <v>-0.11301163695357275</v>
      </c>
      <c r="S37" s="17">
        <f t="shared" ca="1" si="6"/>
        <v>-23.925800229898304</v>
      </c>
      <c r="T37" s="24">
        <f t="shared" ca="1" si="7"/>
        <v>-579.17595720234385</v>
      </c>
      <c r="U37" s="24">
        <f t="shared" ca="1" si="8"/>
        <v>-755.54817510333521</v>
      </c>
      <c r="V37" s="24">
        <f ca="1">S36*(O37-O36)*futMult</f>
        <v>755.54817510333532</v>
      </c>
      <c r="W37" s="24">
        <f ca="1">T37+V37</f>
        <v>176.37221790099147</v>
      </c>
      <c r="X37" s="24">
        <f ca="1">X36+T37</f>
        <v>60458.46402368549</v>
      </c>
      <c r="Y37" s="24">
        <f t="shared" ca="1" si="9"/>
        <v>29231.501579449199</v>
      </c>
      <c r="Z37" s="24"/>
    </row>
    <row r="38" spans="2:26" x14ac:dyDescent="0.25">
      <c r="F38" s="18">
        <f t="shared" si="2"/>
        <v>35</v>
      </c>
      <c r="G38">
        <f t="shared" si="0"/>
        <v>0.1388888888888889</v>
      </c>
      <c r="H38" s="8">
        <v>5.4992692024939047E-2</v>
      </c>
      <c r="I38" s="8">
        <f ca="1">(interestRate-dividend-0.5*sigma^2)*1/252+sigma*SQRT(1/252)*_xlfn.NORM.S.INV(RAND())</f>
        <v>1.8921136414090688E-3</v>
      </c>
      <c r="J38" s="27">
        <f t="shared" ca="1" si="3"/>
        <v>108.12498490495223</v>
      </c>
      <c r="K38" s="20">
        <f t="shared" ca="1" si="4"/>
        <v>108.12498490495223</v>
      </c>
      <c r="L38" s="20">
        <f ca="1">BlackScholes(OptType,"Price",K38,Strike,time-G38,0,sigma,interestRate,dividend)</f>
        <v>12.135198883962815</v>
      </c>
      <c r="M38" s="21">
        <f ca="1">L38*units*optMult*IF(Side="Short",-1,1)</f>
        <v>-121351.98883962815</v>
      </c>
      <c r="N38" s="6">
        <f ca="1">BlackScholes(OptType,"Delta",K38,Strike,time-G38,0,sigma,interestRate,dividend)*IF(Side="Short",-1,1)*units*optMult</f>
        <v>5945.8415560117219</v>
      </c>
      <c r="O38" s="6">
        <f ca="1">K38*EXP((interestRate-dividend)*(time-G38))</f>
        <v>108.12498490495223</v>
      </c>
      <c r="P38" s="19">
        <f>EXP((interestRate-dividend)*(time-G38))*futMult</f>
        <v>250</v>
      </c>
      <c r="Q38">
        <f t="shared" ca="1" si="1"/>
        <v>-23.783366224046887</v>
      </c>
      <c r="R38" s="32">
        <f t="shared" ca="1" si="5"/>
        <v>0.14243400585141686</v>
      </c>
      <c r="S38" s="17">
        <f t="shared" ca="1" si="6"/>
        <v>-23.783366224046887</v>
      </c>
      <c r="T38" s="24">
        <f t="shared" ca="1" si="7"/>
        <v>1397.5986110196973</v>
      </c>
      <c r="U38" s="24">
        <f t="shared" ca="1" si="8"/>
        <v>1222.5565452780493</v>
      </c>
      <c r="V38" s="24">
        <f ca="1">S37*(O38-O37)*futMult</f>
        <v>-1222.556545278049</v>
      </c>
      <c r="W38" s="24">
        <f ca="1">T38+V38</f>
        <v>175.04206574164823</v>
      </c>
      <c r="X38" s="24">
        <f ca="1">X37+T38</f>
        <v>61856.062634705188</v>
      </c>
      <c r="Y38" s="24">
        <f t="shared" ca="1" si="9"/>
        <v>28008.945034171149</v>
      </c>
      <c r="Z38" s="24"/>
    </row>
    <row r="39" spans="2:26" x14ac:dyDescent="0.25">
      <c r="F39" s="18">
        <f t="shared" si="2"/>
        <v>36</v>
      </c>
      <c r="G39">
        <f t="shared" si="0"/>
        <v>0.14285714285714285</v>
      </c>
      <c r="H39" s="8">
        <v>3.065864991371121E-2</v>
      </c>
      <c r="I39" s="8">
        <f ca="1">(interestRate-dividend-0.5*sigma^2)*1/252+sigma*SQRT(1/252)*_xlfn.NORM.S.INV(RAND())</f>
        <v>5.1091768870699904E-4</v>
      </c>
      <c r="J39" s="27">
        <f t="shared" ca="1" si="3"/>
        <v>108.18024198703966</v>
      </c>
      <c r="K39" s="20">
        <f t="shared" ca="1" si="4"/>
        <v>108.18024198703966</v>
      </c>
      <c r="L39" s="20">
        <f ca="1">BlackScholes(OptType,"Price",K39,Strike,time-G39,0,sigma,interestRate,dividend)</f>
        <v>12.084408565083832</v>
      </c>
      <c r="M39" s="21">
        <f ca="1">L39*units*optMult*IF(Side="Short",-1,1)</f>
        <v>-120844.08565083831</v>
      </c>
      <c r="N39" s="6">
        <f ca="1">BlackScholes(OptType,"Delta",K39,Strike,time-G39,0,sigma,interestRate,dividend)*IF(Side="Short",-1,1)*units*optMult</f>
        <v>5938.9501801361748</v>
      </c>
      <c r="O39" s="6">
        <f ca="1">K39*EXP((interestRate-dividend)*(time-G39))</f>
        <v>108.18024198703966</v>
      </c>
      <c r="P39" s="19">
        <f>EXP((interestRate-dividend)*(time-G39))*futMult</f>
        <v>250</v>
      </c>
      <c r="Q39">
        <f t="shared" ca="1" si="1"/>
        <v>-23.755800720544698</v>
      </c>
      <c r="R39" s="32">
        <f t="shared" ca="1" si="5"/>
        <v>2.7565503502188449E-2</v>
      </c>
      <c r="S39" s="17">
        <f t="shared" ca="1" si="6"/>
        <v>-23.755800720544698</v>
      </c>
      <c r="T39" s="24">
        <f t="shared" ca="1" si="7"/>
        <v>507.90318878983089</v>
      </c>
      <c r="U39" s="24">
        <f t="shared" ca="1" si="8"/>
        <v>328.54985493943099</v>
      </c>
      <c r="V39" s="24">
        <f ca="1">S38*(O39-O38)*futMult</f>
        <v>-328.54985493943093</v>
      </c>
      <c r="W39" s="24">
        <f ca="1">T39+V39</f>
        <v>179.35333385039996</v>
      </c>
      <c r="X39" s="24">
        <f ca="1">X38+T39</f>
        <v>62363.965823495018</v>
      </c>
      <c r="Y39" s="24">
        <f t="shared" ca="1" si="9"/>
        <v>27680.395179231717</v>
      </c>
      <c r="Z39" s="24"/>
    </row>
    <row r="40" spans="2:26" x14ac:dyDescent="0.25">
      <c r="F40" s="18">
        <f t="shared" si="2"/>
        <v>37</v>
      </c>
      <c r="G40">
        <f t="shared" si="0"/>
        <v>0.14682539682539683</v>
      </c>
      <c r="H40" s="8">
        <v>-1.4742281737203544E-2</v>
      </c>
      <c r="I40" s="8">
        <f ca="1">(interestRate-dividend-0.5*sigma^2)*1/252+sigma*SQRT(1/252)*_xlfn.NORM.S.INV(RAND())</f>
        <v>1.4383798498670901E-2</v>
      </c>
      <c r="J40" s="27">
        <f t="shared" ca="1" si="3"/>
        <v>109.74752954177886</v>
      </c>
      <c r="K40" s="20">
        <f t="shared" ca="1" si="4"/>
        <v>109.74752954177886</v>
      </c>
      <c r="L40" s="20">
        <f ca="1">BlackScholes(OptType,"Price",K40,Strike,time-G40,0,sigma,interestRate,dividend)</f>
        <v>11.15885672957371</v>
      </c>
      <c r="M40" s="21">
        <f ca="1">L40*units*optMult*IF(Side="Short",-1,1)</f>
        <v>-111588.56729573711</v>
      </c>
      <c r="N40" s="6">
        <f ca="1">BlackScholes(OptType,"Delta",K40,Strike,time-G40,0,sigma,interestRate,dividend)*IF(Side="Short",-1,1)*units*optMult</f>
        <v>5638.3344058100311</v>
      </c>
      <c r="O40" s="6">
        <f ca="1">K40*EXP((interestRate-dividend)*(time-G40))</f>
        <v>109.74752954177886</v>
      </c>
      <c r="P40" s="19">
        <f>EXP((interestRate-dividend)*(time-G40))*futMult</f>
        <v>250</v>
      </c>
      <c r="Q40">
        <f t="shared" ca="1" si="1"/>
        <v>-22.553337623240125</v>
      </c>
      <c r="R40" s="32">
        <f t="shared" ca="1" si="5"/>
        <v>1.2024630973045731</v>
      </c>
      <c r="S40" s="17">
        <f t="shared" ca="1" si="6"/>
        <v>-22.553337623240125</v>
      </c>
      <c r="T40" s="24">
        <f t="shared" ca="1" si="7"/>
        <v>9255.5183551012015</v>
      </c>
      <c r="U40" s="24">
        <f t="shared" ca="1" si="8"/>
        <v>9308.0427055435284</v>
      </c>
      <c r="V40" s="24">
        <f ca="1">S39*(O40-O39)*futMult</f>
        <v>-9308.0427055435284</v>
      </c>
      <c r="W40" s="24">
        <f ca="1">T40+V40</f>
        <v>-52.524350442326977</v>
      </c>
      <c r="X40" s="24">
        <f ca="1">X39+T40</f>
        <v>71619.48417859622</v>
      </c>
      <c r="Y40" s="24">
        <f t="shared" ca="1" si="9"/>
        <v>18372.352473688188</v>
      </c>
      <c r="Z40" s="24"/>
    </row>
    <row r="41" spans="2:26" x14ac:dyDescent="0.25">
      <c r="F41" s="18">
        <f t="shared" si="2"/>
        <v>38</v>
      </c>
      <c r="G41">
        <f t="shared" si="0"/>
        <v>0.15079365079365079</v>
      </c>
      <c r="H41" s="8">
        <v>1.2468883713479163E-2</v>
      </c>
      <c r="I41" s="8">
        <f ca="1">(interestRate-dividend-0.5*sigma^2)*1/252+sigma*SQRT(1/252)*_xlfn.NORM.S.INV(RAND())</f>
        <v>1.3797075097428413E-2</v>
      </c>
      <c r="J41" s="27">
        <f t="shared" ca="1" si="3"/>
        <v>111.27221838538242</v>
      </c>
      <c r="K41" s="20">
        <f t="shared" ca="1" si="4"/>
        <v>111.27221838538242</v>
      </c>
      <c r="L41" s="20">
        <f ca="1">BlackScholes(OptType,"Price",K41,Strike,time-G41,0,sigma,interestRate,dividend)</f>
        <v>10.302718006606225</v>
      </c>
      <c r="M41" s="21">
        <f ca="1">L41*units*optMult*IF(Side="Short",-1,1)</f>
        <v>-103027.18006606225</v>
      </c>
      <c r="N41" s="6">
        <f ca="1">BlackScholes(OptType,"Delta",K41,Strike,time-G41,0,sigma,interestRate,dividend)*IF(Side="Short",-1,1)*units*optMult</f>
        <v>5345.2163473426617</v>
      </c>
      <c r="O41" s="6">
        <f ca="1">K41*EXP((interestRate-dividend)*(time-G41))</f>
        <v>111.27221838538242</v>
      </c>
      <c r="P41" s="19">
        <f>EXP((interestRate-dividend)*(time-G41))*futMult</f>
        <v>250</v>
      </c>
      <c r="Q41">
        <f t="shared" ca="1" si="1"/>
        <v>-21.380865389370648</v>
      </c>
      <c r="R41" s="32">
        <f t="shared" ca="1" si="5"/>
        <v>1.1724722338694775</v>
      </c>
      <c r="S41" s="17">
        <f t="shared" ca="1" si="6"/>
        <v>-21.380865389370648</v>
      </c>
      <c r="T41" s="24">
        <f t="shared" ca="1" si="7"/>
        <v>8561.3872296748596</v>
      </c>
      <c r="U41" s="24">
        <f t="shared" ca="1" si="8"/>
        <v>8596.70556504464</v>
      </c>
      <c r="V41" s="24">
        <f ca="1">S40*(O41-O40)*futMult</f>
        <v>-8596.70556504464</v>
      </c>
      <c r="W41" s="24">
        <f ca="1">T41+V41</f>
        <v>-35.318335369780471</v>
      </c>
      <c r="X41" s="24">
        <f ca="1">X40+T41</f>
        <v>80180.871408271079</v>
      </c>
      <c r="Y41" s="24">
        <f t="shared" ca="1" si="9"/>
        <v>9775.6469086435482</v>
      </c>
      <c r="Z41" s="24"/>
    </row>
    <row r="42" spans="2:26" x14ac:dyDescent="0.25">
      <c r="F42" s="18">
        <f t="shared" si="2"/>
        <v>39</v>
      </c>
      <c r="G42">
        <f t="shared" si="0"/>
        <v>0.15476190476190477</v>
      </c>
      <c r="H42" s="8">
        <v>1.6857720876071466E-4</v>
      </c>
      <c r="I42" s="8">
        <f ca="1">(interestRate-dividend-0.5*sigma^2)*1/252+sigma*SQRT(1/252)*_xlfn.NORM.S.INV(RAND())</f>
        <v>-4.9334625434670071E-3</v>
      </c>
      <c r="J42" s="27">
        <f t="shared" ca="1" si="3"/>
        <v>110.72461296993514</v>
      </c>
      <c r="K42" s="20">
        <f t="shared" ca="1" si="4"/>
        <v>110.72461296993514</v>
      </c>
      <c r="L42" s="20">
        <f ca="1">BlackScholes(OptType,"Price",K42,Strike,time-G42,0,sigma,interestRate,dividend)</f>
        <v>10.579412030807026</v>
      </c>
      <c r="M42" s="21">
        <f ca="1">L42*units*optMult*IF(Side="Short",-1,1)</f>
        <v>-105794.12030807025</v>
      </c>
      <c r="N42" s="6">
        <f ca="1">BlackScholes(OptType,"Delta",K42,Strike,time-G42,0,sigma,interestRate,dividend)*IF(Side="Short",-1,1)*units*optMult</f>
        <v>5454.2338413780235</v>
      </c>
      <c r="O42" s="6">
        <f ca="1">K42*EXP((interestRate-dividend)*(time-G42))</f>
        <v>110.72461296993514</v>
      </c>
      <c r="P42" s="19">
        <f>EXP((interestRate-dividend)*(time-G42))*futMult</f>
        <v>250</v>
      </c>
      <c r="Q42">
        <f t="shared" ca="1" si="1"/>
        <v>-21.816935365512094</v>
      </c>
      <c r="R42" s="32">
        <f t="shared" ca="1" si="5"/>
        <v>-0.4360699761414466</v>
      </c>
      <c r="S42" s="17">
        <f t="shared" ca="1" si="6"/>
        <v>-21.816935365512094</v>
      </c>
      <c r="T42" s="24">
        <f t="shared" ca="1" si="7"/>
        <v>-2766.9402420080005</v>
      </c>
      <c r="U42" s="24">
        <f t="shared" ca="1" si="8"/>
        <v>-2927.0694185421662</v>
      </c>
      <c r="V42" s="24">
        <f ca="1">S41*(O42-O41)*futMult</f>
        <v>2927.0694185421662</v>
      </c>
      <c r="W42" s="24">
        <f ca="1">T42+V42</f>
        <v>160.12917653416571</v>
      </c>
      <c r="X42" s="24">
        <f ca="1">X41+T42</f>
        <v>77413.931166263079</v>
      </c>
      <c r="Y42" s="24">
        <f t="shared" ca="1" si="9"/>
        <v>12702.716327185713</v>
      </c>
      <c r="Z42" s="24"/>
    </row>
    <row r="43" spans="2:26" x14ac:dyDescent="0.25">
      <c r="F43" s="18">
        <f t="shared" si="2"/>
        <v>40</v>
      </c>
      <c r="G43">
        <f t="shared" si="0"/>
        <v>0.15873015873015872</v>
      </c>
      <c r="H43" s="8">
        <v>7.6403545339645794E-3</v>
      </c>
      <c r="I43" s="8">
        <f ca="1">(interestRate-dividend-0.5*sigma^2)*1/252+sigma*SQRT(1/252)*_xlfn.NORM.S.INV(RAND())</f>
        <v>-1.7663753397221992E-2</v>
      </c>
      <c r="J43" s="27">
        <f t="shared" ca="1" si="3"/>
        <v>108.78597294677951</v>
      </c>
      <c r="K43" s="20">
        <f t="shared" ca="1" si="4"/>
        <v>108.78597294677951</v>
      </c>
      <c r="L43" s="20">
        <f ca="1">BlackScholes(OptType,"Price",K43,Strike,time-G43,0,sigma,interestRate,dividend)</f>
        <v>11.655085502321086</v>
      </c>
      <c r="M43" s="21">
        <f ca="1">L43*units*optMult*IF(Side="Short",-1,1)</f>
        <v>-116550.85502321085</v>
      </c>
      <c r="N43" s="6">
        <f ca="1">BlackScholes(OptType,"Delta",K43,Strike,time-G43,0,sigma,interestRate,dividend)*IF(Side="Short",-1,1)*units*optMult</f>
        <v>5835.9500620124672</v>
      </c>
      <c r="O43" s="6">
        <f ca="1">K43*EXP((interestRate-dividend)*(time-G43))</f>
        <v>108.78597294677951</v>
      </c>
      <c r="P43" s="19">
        <f>EXP((interestRate-dividend)*(time-G43))*futMult</f>
        <v>250</v>
      </c>
      <c r="Q43">
        <f t="shared" ca="1" si="1"/>
        <v>-23.34380024804987</v>
      </c>
      <c r="R43" s="32">
        <f t="shared" ca="1" si="5"/>
        <v>-1.526864882537776</v>
      </c>
      <c r="S43" s="17">
        <f t="shared" ca="1" si="6"/>
        <v>-23.34380024804987</v>
      </c>
      <c r="T43" s="24">
        <f t="shared" ca="1" si="7"/>
        <v>-10756.734715140599</v>
      </c>
      <c r="U43" s="24">
        <f t="shared" ca="1" si="8"/>
        <v>-10573.796020545302</v>
      </c>
      <c r="V43" s="24">
        <f ca="1">S42*(O43-O42)*futMult</f>
        <v>10573.796020545302</v>
      </c>
      <c r="W43" s="24">
        <f ca="1">T43+V43</f>
        <v>-182.93869459529742</v>
      </c>
      <c r="X43" s="24">
        <f ca="1">X42+T43</f>
        <v>66657.19645112248</v>
      </c>
      <c r="Y43" s="24">
        <f t="shared" ca="1" si="9"/>
        <v>23276.512347731015</v>
      </c>
      <c r="Z43" s="24"/>
    </row>
    <row r="44" spans="2:26" x14ac:dyDescent="0.25">
      <c r="F44" s="18">
        <f t="shared" si="2"/>
        <v>41</v>
      </c>
      <c r="G44">
        <f t="shared" si="0"/>
        <v>0.1626984126984127</v>
      </c>
      <c r="H44" s="8">
        <v>3.1732803246264795E-3</v>
      </c>
      <c r="I44" s="8">
        <f ca="1">(interestRate-dividend-0.5*sigma^2)*1/252+sigma*SQRT(1/252)*_xlfn.NORM.S.INV(RAND())</f>
        <v>1.4421148914849416E-3</v>
      </c>
      <c r="J44" s="27">
        <f t="shared" ca="1" si="3"/>
        <v>108.9429679935897</v>
      </c>
      <c r="K44" s="20">
        <f t="shared" ca="1" si="4"/>
        <v>108.9429679935897</v>
      </c>
      <c r="L44" s="20">
        <f ca="1">BlackScholes(OptType,"Price",K44,Strike,time-G44,0,sigma,interestRate,dividend)</f>
        <v>11.545265635089743</v>
      </c>
      <c r="M44" s="21">
        <f ca="1">L44*units*optMult*IF(Side="Short",-1,1)</f>
        <v>-115452.65635089742</v>
      </c>
      <c r="N44" s="6">
        <f ca="1">BlackScholes(OptType,"Delta",K44,Strike,time-G44,0,sigma,interestRate,dividend)*IF(Side="Short",-1,1)*units*optMult</f>
        <v>5808.8275962896714</v>
      </c>
      <c r="O44" s="6">
        <f ca="1">K44*EXP((interestRate-dividend)*(time-G44))</f>
        <v>108.9429679935897</v>
      </c>
      <c r="P44" s="19">
        <f>EXP((interestRate-dividend)*(time-G44))*futMult</f>
        <v>250</v>
      </c>
      <c r="Q44">
        <f t="shared" ca="1" si="1"/>
        <v>-23.235310385158687</v>
      </c>
      <c r="R44" s="32">
        <f t="shared" ca="1" si="5"/>
        <v>0.10848986289118301</v>
      </c>
      <c r="S44" s="17">
        <f t="shared" ca="1" si="6"/>
        <v>-23.235310385158687</v>
      </c>
      <c r="T44" s="24">
        <f t="shared" ca="1" si="7"/>
        <v>1098.1986723134323</v>
      </c>
      <c r="U44" s="24">
        <f t="shared" ca="1" si="8"/>
        <v>916.21525316760801</v>
      </c>
      <c r="V44" s="24">
        <f ca="1">S43*(O44-O43)*futMult</f>
        <v>-916.21525316760813</v>
      </c>
      <c r="W44" s="24">
        <f ca="1">T44+V44</f>
        <v>181.9834191458242</v>
      </c>
      <c r="X44" s="24">
        <f ca="1">X43+T44</f>
        <v>67755.395123435912</v>
      </c>
      <c r="Y44" s="24">
        <f t="shared" ca="1" si="9"/>
        <v>22360.297094563408</v>
      </c>
      <c r="Z44" s="24"/>
    </row>
    <row r="45" spans="2:26" x14ac:dyDescent="0.25">
      <c r="F45" s="18">
        <f t="shared" si="2"/>
        <v>42</v>
      </c>
      <c r="G45">
        <f t="shared" si="0"/>
        <v>0.16666666666666666</v>
      </c>
      <c r="H45" s="8">
        <v>-8.4565330012096752E-3</v>
      </c>
      <c r="I45" s="8">
        <f ca="1">(interestRate-dividend-0.5*sigma^2)*1/252+sigma*SQRT(1/252)*_xlfn.NORM.S.INV(RAND())</f>
        <v>3.5587228339324785E-3</v>
      </c>
      <c r="J45" s="27">
        <f t="shared" ca="1" si="3"/>
        <v>109.33135649500338</v>
      </c>
      <c r="K45" s="20">
        <f t="shared" ca="1" si="4"/>
        <v>109.33135649500338</v>
      </c>
      <c r="L45" s="20">
        <f ca="1">BlackScholes(OptType,"Price",K45,Strike,time-G45,0,sigma,interestRate,dividend)</f>
        <v>11.302519709698361</v>
      </c>
      <c r="M45" s="21">
        <f ca="1">L45*units*optMult*IF(Side="Short",-1,1)</f>
        <v>-113025.19709698361</v>
      </c>
      <c r="N45" s="6">
        <f ca="1">BlackScholes(OptType,"Delta",K45,Strike,time-G45,0,sigma,interestRate,dividend)*IF(Side="Short",-1,1)*units*optMult</f>
        <v>5736.1315735883636</v>
      </c>
      <c r="O45" s="6">
        <f ca="1">K45*EXP((interestRate-dividend)*(time-G45))</f>
        <v>109.33135649500338</v>
      </c>
      <c r="P45" s="19">
        <f>EXP((interestRate-dividend)*(time-G45))*futMult</f>
        <v>250</v>
      </c>
      <c r="Q45">
        <f t="shared" ca="1" si="1"/>
        <v>-22.944526294353455</v>
      </c>
      <c r="R45" s="32">
        <f t="shared" ca="1" si="5"/>
        <v>0.29078409080523215</v>
      </c>
      <c r="S45" s="17">
        <f t="shared" ca="1" si="6"/>
        <v>-22.944526294353455</v>
      </c>
      <c r="T45" s="24">
        <f t="shared" ca="1" si="7"/>
        <v>2427.4592539138102</v>
      </c>
      <c r="U45" s="24">
        <f t="shared" ca="1" si="8"/>
        <v>2256.0818450933298</v>
      </c>
      <c r="V45" s="24">
        <f ca="1">S44*(O45-O44)*futMult</f>
        <v>-2256.0818450933298</v>
      </c>
      <c r="W45" s="24">
        <f ca="1">T45+V45</f>
        <v>171.37740882048047</v>
      </c>
      <c r="X45" s="24">
        <f ca="1">X44+T45</f>
        <v>70182.854377349722</v>
      </c>
      <c r="Y45" s="24">
        <f t="shared" ca="1" si="9"/>
        <v>20104.215249470079</v>
      </c>
      <c r="Z45" s="24"/>
    </row>
    <row r="46" spans="2:26" x14ac:dyDescent="0.25">
      <c r="F46" s="18">
        <f t="shared" si="2"/>
        <v>43</v>
      </c>
      <c r="G46">
        <f t="shared" si="0"/>
        <v>0.17063492063492064</v>
      </c>
      <c r="H46" s="8">
        <v>6.620598245344206E-3</v>
      </c>
      <c r="I46" s="8">
        <f ca="1">(interestRate-dividend-0.5*sigma^2)*1/252+sigma*SQRT(1/252)*_xlfn.NORM.S.INV(RAND())</f>
        <v>1.3824197397288959E-2</v>
      </c>
      <c r="J46" s="27">
        <f t="shared" ca="1" si="3"/>
        <v>110.85327012868346</v>
      </c>
      <c r="K46" s="20">
        <f t="shared" ca="1" si="4"/>
        <v>110.85327012868346</v>
      </c>
      <c r="L46" s="20">
        <f ca="1">BlackScholes(OptType,"Price",K46,Strike,time-G46,0,sigma,interestRate,dividend)</f>
        <v>10.433141051701694</v>
      </c>
      <c r="M46" s="21">
        <f ca="1">L46*units*optMult*IF(Side="Short",-1,1)</f>
        <v>-104331.41051701694</v>
      </c>
      <c r="N46" s="6">
        <f ca="1">BlackScholes(OptType,"Delta",K46,Strike,time-G46,0,sigma,interestRate,dividend)*IF(Side="Short",-1,1)*units*optMult</f>
        <v>5440.1759770377275</v>
      </c>
      <c r="O46" s="6">
        <f ca="1">K46*EXP((interestRate-dividend)*(time-G46))</f>
        <v>110.85327012868346</v>
      </c>
      <c r="P46" s="19">
        <f>EXP((interestRate-dividend)*(time-G46))*futMult</f>
        <v>250</v>
      </c>
      <c r="Q46">
        <f t="shared" ca="1" si="1"/>
        <v>-21.760703908150909</v>
      </c>
      <c r="R46" s="32">
        <f t="shared" ca="1" si="5"/>
        <v>1.1838223862025465</v>
      </c>
      <c r="S46" s="17">
        <f t="shared" ca="1" si="6"/>
        <v>-21.760703908150909</v>
      </c>
      <c r="T46" s="24">
        <f t="shared" ca="1" si="7"/>
        <v>8693.7865799666761</v>
      </c>
      <c r="U46" s="24">
        <f t="shared" ca="1" si="8"/>
        <v>8729.8968464269346</v>
      </c>
      <c r="V46" s="24">
        <f ca="1">S45*(O46-O45)*futMult</f>
        <v>-8729.8968464269365</v>
      </c>
      <c r="W46" s="24">
        <f ca="1">T46+V46</f>
        <v>-36.110266460260391</v>
      </c>
      <c r="X46" s="24">
        <f ca="1">X45+T46</f>
        <v>78876.640957316398</v>
      </c>
      <c r="Y46" s="24">
        <f t="shared" ca="1" si="9"/>
        <v>11374.318403043142</v>
      </c>
      <c r="Z46" s="24"/>
    </row>
    <row r="47" spans="2:26" x14ac:dyDescent="0.25">
      <c r="F47" s="18">
        <f t="shared" si="2"/>
        <v>44</v>
      </c>
      <c r="G47">
        <f t="shared" si="0"/>
        <v>0.17460317460317459</v>
      </c>
      <c r="H47" s="8">
        <v>1.9029282739208123E-2</v>
      </c>
      <c r="I47" s="8">
        <f ca="1">(interestRate-dividend-0.5*sigma^2)*1/252+sigma*SQRT(1/252)*_xlfn.NORM.S.INV(RAND())</f>
        <v>1.0858891853025366E-2</v>
      </c>
      <c r="J47" s="27">
        <f t="shared" ca="1" si="3"/>
        <v>112.06357318278127</v>
      </c>
      <c r="K47" s="20">
        <f t="shared" ca="1" si="4"/>
        <v>112.06357318278127</v>
      </c>
      <c r="L47" s="20">
        <f ca="1">BlackScholes(OptType,"Price",K47,Strike,time-G47,0,sigma,interestRate,dividend)</f>
        <v>9.7695952319791655</v>
      </c>
      <c r="M47" s="21">
        <f ca="1">L47*units*optMult*IF(Side="Short",-1,1)</f>
        <v>-97695.952319791657</v>
      </c>
      <c r="N47" s="6">
        <f ca="1">BlackScholes(OptType,"Delta",K47,Strike,time-G47,0,sigma,interestRate,dividend)*IF(Side="Short",-1,1)*units*optMult</f>
        <v>5205.3683187300931</v>
      </c>
      <c r="O47" s="6">
        <f ca="1">K47*EXP((interestRate-dividend)*(time-G47))</f>
        <v>112.06357318278127</v>
      </c>
      <c r="P47" s="19">
        <f>EXP((interestRate-dividend)*(time-G47))*futMult</f>
        <v>250</v>
      </c>
      <c r="Q47">
        <f t="shared" ca="1" si="1"/>
        <v>-20.821473274920372</v>
      </c>
      <c r="R47" s="32">
        <f t="shared" ca="1" si="5"/>
        <v>0.93923063323053668</v>
      </c>
      <c r="S47" s="17">
        <f t="shared" ca="1" si="6"/>
        <v>-20.821473274920372</v>
      </c>
      <c r="T47" s="24">
        <f t="shared" ca="1" si="7"/>
        <v>6635.4581972252781</v>
      </c>
      <c r="U47" s="24">
        <f t="shared" ca="1" si="8"/>
        <v>6584.2615998382817</v>
      </c>
      <c r="V47" s="24">
        <f ca="1">S46*(O47-O46)*futMult</f>
        <v>-6584.2615998382807</v>
      </c>
      <c r="W47" s="24">
        <f ca="1">T47+V47</f>
        <v>51.196597386997382</v>
      </c>
      <c r="X47" s="24">
        <f ca="1">X46+T47</f>
        <v>85512.099154541676</v>
      </c>
      <c r="Y47" s="24">
        <f t="shared" ca="1" si="9"/>
        <v>4790.0568032048614</v>
      </c>
      <c r="Z47" s="24"/>
    </row>
    <row r="48" spans="2:26" x14ac:dyDescent="0.25">
      <c r="F48" s="18">
        <f t="shared" si="2"/>
        <v>45</v>
      </c>
      <c r="G48">
        <f t="shared" si="0"/>
        <v>0.17857142857142858</v>
      </c>
      <c r="H48" s="8">
        <v>2.3168310483470164E-2</v>
      </c>
      <c r="I48" s="8">
        <f ca="1">(interestRate-dividend-0.5*sigma^2)*1/252+sigma*SQRT(1/252)*_xlfn.NORM.S.INV(RAND())</f>
        <v>2.0308147083697809E-3</v>
      </c>
      <c r="J48" s="27">
        <f t="shared" ca="1" si="3"/>
        <v>112.29138477874805</v>
      </c>
      <c r="K48" s="20">
        <f t="shared" ca="1" si="4"/>
        <v>112.29138477874805</v>
      </c>
      <c r="L48" s="20">
        <f ca="1">BlackScholes(OptType,"Price",K48,Strike,time-G48,0,sigma,interestRate,dividend)</f>
        <v>9.631943924602421</v>
      </c>
      <c r="M48" s="21">
        <f ca="1">L48*units*optMult*IF(Side="Short",-1,1)</f>
        <v>-96319.439246024209</v>
      </c>
      <c r="N48" s="6">
        <f ca="1">BlackScholes(OptType,"Delta",K48,Strike,time-G48,0,sigma,interestRate,dividend)*IF(Side="Short",-1,1)*units*optMult</f>
        <v>5162.9604962848298</v>
      </c>
      <c r="O48" s="6">
        <f ca="1">K48*EXP((interestRate-dividend)*(time-G48))</f>
        <v>112.29138477874805</v>
      </c>
      <c r="P48" s="19">
        <f>EXP((interestRate-dividend)*(time-G48))*futMult</f>
        <v>250</v>
      </c>
      <c r="Q48">
        <f t="shared" ca="1" si="1"/>
        <v>-20.65184198513932</v>
      </c>
      <c r="R48" s="32">
        <f t="shared" ca="1" si="5"/>
        <v>0.16963128978105146</v>
      </c>
      <c r="S48" s="17">
        <f t="shared" ca="1" si="6"/>
        <v>-20.65184198513932</v>
      </c>
      <c r="T48" s="24">
        <f t="shared" ca="1" si="7"/>
        <v>1376.5130737674481</v>
      </c>
      <c r="U48" s="24">
        <f t="shared" ca="1" si="8"/>
        <v>1185.8432642848395</v>
      </c>
      <c r="V48" s="24">
        <f ca="1">S47*(O48-O47)*futMult</f>
        <v>-1185.8432642848395</v>
      </c>
      <c r="W48" s="24">
        <f ca="1">T48+V48</f>
        <v>190.66980948260857</v>
      </c>
      <c r="X48" s="24">
        <f ca="1">X47+T48</f>
        <v>86888.612228309124</v>
      </c>
      <c r="Y48" s="24">
        <f t="shared" ca="1" si="9"/>
        <v>3604.2135389200221</v>
      </c>
      <c r="Z48" s="24"/>
    </row>
    <row r="49" spans="6:26" x14ac:dyDescent="0.25">
      <c r="F49" s="18">
        <f t="shared" si="2"/>
        <v>46</v>
      </c>
      <c r="G49">
        <f t="shared" si="0"/>
        <v>0.18253968253968253</v>
      </c>
      <c r="H49" s="8">
        <v>1.257277642329052E-2</v>
      </c>
      <c r="I49" s="8">
        <f ca="1">(interestRate-dividend-0.5*sigma^2)*1/252+sigma*SQRT(1/252)*_xlfn.NORM.S.INV(RAND())</f>
        <v>-1.4353062613052421E-3</v>
      </c>
      <c r="J49" s="27">
        <f t="shared" ca="1" si="3"/>
        <v>112.13032786173468</v>
      </c>
      <c r="K49" s="20">
        <f t="shared" ca="1" si="4"/>
        <v>112.13032786173468</v>
      </c>
      <c r="L49" s="20">
        <f ca="1">BlackScholes(OptType,"Price",K49,Strike,time-G49,0,sigma,interestRate,dividend)</f>
        <v>9.6957648375079319</v>
      </c>
      <c r="M49" s="21">
        <f ca="1">L49*units*optMult*IF(Side="Short",-1,1)</f>
        <v>-96957.648375079312</v>
      </c>
      <c r="N49" s="6">
        <f ca="1">BlackScholes(OptType,"Delta",K49,Strike,time-G49,0,sigma,interestRate,dividend)*IF(Side="Short",-1,1)*units*optMult</f>
        <v>5196.7380178942039</v>
      </c>
      <c r="O49" s="6">
        <f ca="1">K49*EXP((interestRate-dividend)*(time-G49))</f>
        <v>112.13032786173468</v>
      </c>
      <c r="P49" s="19">
        <f>EXP((interestRate-dividend)*(time-G49))*futMult</f>
        <v>250</v>
      </c>
      <c r="Q49">
        <f t="shared" ca="1" si="1"/>
        <v>-20.786952071576817</v>
      </c>
      <c r="R49" s="32">
        <f t="shared" ca="1" si="5"/>
        <v>-0.13511008643749634</v>
      </c>
      <c r="S49" s="17">
        <f t="shared" ca="1" si="6"/>
        <v>-20.786952071576817</v>
      </c>
      <c r="T49" s="24">
        <f t="shared" ca="1" si="7"/>
        <v>-638.2091290551034</v>
      </c>
      <c r="U49" s="24">
        <f t="shared" ca="1" si="8"/>
        <v>-831.53050019344653</v>
      </c>
      <c r="V49" s="24">
        <f ca="1">S48*(O49-O48)*futMult</f>
        <v>831.53050019344653</v>
      </c>
      <c r="W49" s="24">
        <f ca="1">T49+V49</f>
        <v>193.32137113834312</v>
      </c>
      <c r="X49" s="24">
        <f ca="1">X48+T49</f>
        <v>86250.403099254021</v>
      </c>
      <c r="Y49" s="24">
        <f t="shared" ca="1" si="9"/>
        <v>4435.7440391134687</v>
      </c>
      <c r="Z49" s="24"/>
    </row>
    <row r="50" spans="6:26" x14ac:dyDescent="0.25">
      <c r="F50" s="18">
        <f t="shared" si="2"/>
        <v>47</v>
      </c>
      <c r="G50">
        <f t="shared" si="0"/>
        <v>0.18650793650793651</v>
      </c>
      <c r="H50" s="8">
        <v>4.8907567708483075E-3</v>
      </c>
      <c r="I50" s="8">
        <f ca="1">(interestRate-dividend-0.5*sigma^2)*1/252+sigma*SQRT(1/252)*_xlfn.NORM.S.INV(RAND())</f>
        <v>6.1048684932298158E-3</v>
      </c>
      <c r="J50" s="27">
        <f t="shared" ca="1" si="3"/>
        <v>112.81696254210829</v>
      </c>
      <c r="K50" s="20">
        <f t="shared" ca="1" si="4"/>
        <v>112.81696254210829</v>
      </c>
      <c r="L50" s="20">
        <f ca="1">BlackScholes(OptType,"Price",K50,Strike,time-G50,0,sigma,interestRate,dividend)</f>
        <v>9.3237886416626257</v>
      </c>
      <c r="M50" s="21">
        <f ca="1">L50*units*optMult*IF(Side="Short",-1,1)</f>
        <v>-93237.886416626265</v>
      </c>
      <c r="N50" s="6">
        <f ca="1">BlackScholes(OptType,"Delta",K50,Strike,time-G50,0,sigma,interestRate,dividend)*IF(Side="Short",-1,1)*units*optMult</f>
        <v>5064.0354780888674</v>
      </c>
      <c r="O50" s="6">
        <f ca="1">K50*EXP((interestRate-dividend)*(time-G50))</f>
        <v>112.81696254210829</v>
      </c>
      <c r="P50" s="19">
        <f>EXP((interestRate-dividend)*(time-G50))*futMult</f>
        <v>250</v>
      </c>
      <c r="Q50">
        <f t="shared" ca="1" si="1"/>
        <v>-20.256141912355471</v>
      </c>
      <c r="R50" s="32">
        <f t="shared" ca="1" si="5"/>
        <v>0.53081015922134611</v>
      </c>
      <c r="S50" s="17">
        <f t="shared" ca="1" si="6"/>
        <v>-20.256141912355471</v>
      </c>
      <c r="T50" s="24">
        <f t="shared" ca="1" si="7"/>
        <v>3719.7619584530476</v>
      </c>
      <c r="U50" s="24">
        <f t="shared" ca="1" si="8"/>
        <v>3568.2605479021263</v>
      </c>
      <c r="V50" s="24">
        <f ca="1">S49*(O50-O49)*futMult</f>
        <v>-3568.2605479021263</v>
      </c>
      <c r="W50" s="24">
        <f ca="1">T50+V50</f>
        <v>151.50141055092126</v>
      </c>
      <c r="X50" s="24">
        <f ca="1">X49+T50</f>
        <v>89970.165057707069</v>
      </c>
      <c r="Y50" s="24">
        <f t="shared" ca="1" si="9"/>
        <v>867.48349121134243</v>
      </c>
      <c r="Z50" s="24"/>
    </row>
    <row r="51" spans="6:26" x14ac:dyDescent="0.25">
      <c r="F51" s="18">
        <f t="shared" si="2"/>
        <v>48</v>
      </c>
      <c r="G51">
        <f t="shared" si="0"/>
        <v>0.19047619047619047</v>
      </c>
      <c r="H51" s="8">
        <v>5.8844467786149952E-3</v>
      </c>
      <c r="I51" s="8">
        <f ca="1">(interestRate-dividend-0.5*sigma^2)*1/252+sigma*SQRT(1/252)*_xlfn.NORM.S.INV(RAND())</f>
        <v>-2.6169132742287775E-3</v>
      </c>
      <c r="J51" s="27">
        <f t="shared" ca="1" si="3"/>
        <v>112.5221162970646</v>
      </c>
      <c r="K51" s="20">
        <f t="shared" ca="1" si="4"/>
        <v>112.5221162970646</v>
      </c>
      <c r="L51" s="20">
        <f ca="1">BlackScholes(OptType,"Price",K51,Strike,time-G51,0,sigma,interestRate,dividend)</f>
        <v>9.4541875547241698</v>
      </c>
      <c r="M51" s="21">
        <f ca="1">L51*units*optMult*IF(Side="Short",-1,1)</f>
        <v>-94541.875547241696</v>
      </c>
      <c r="N51" s="6">
        <f ca="1">BlackScholes(OptType,"Delta",K51,Strike,time-G51,0,sigma,interestRate,dividend)*IF(Side="Short",-1,1)*units*optMult</f>
        <v>5123.9514742530237</v>
      </c>
      <c r="O51" s="6">
        <f ca="1">K51*EXP((interestRate-dividend)*(time-G51))</f>
        <v>112.5221162970646</v>
      </c>
      <c r="P51" s="19">
        <f>EXP((interestRate-dividend)*(time-G51))*futMult</f>
        <v>250</v>
      </c>
      <c r="Q51">
        <f t="shared" ca="1" si="1"/>
        <v>-20.495805897012094</v>
      </c>
      <c r="R51" s="32">
        <f t="shared" ca="1" si="5"/>
        <v>-0.23966398465662309</v>
      </c>
      <c r="S51" s="17">
        <f t="shared" ca="1" si="6"/>
        <v>-20.495805897012094</v>
      </c>
      <c r="T51" s="24">
        <f t="shared" ca="1" si="7"/>
        <v>-1303.9891306154313</v>
      </c>
      <c r="U51" s="24">
        <f t="shared" ca="1" si="8"/>
        <v>-1493.1118454825119</v>
      </c>
      <c r="V51" s="24">
        <f ca="1">S50*(O51-O50)*futMult</f>
        <v>1493.1118454825119</v>
      </c>
      <c r="W51" s="24">
        <f ca="1">T51+V51</f>
        <v>189.1227148670805</v>
      </c>
      <c r="X51" s="24">
        <f ca="1">X50+T51</f>
        <v>88666.175927091637</v>
      </c>
      <c r="Y51" s="24">
        <f t="shared" ca="1" si="9"/>
        <v>2360.5953366938543</v>
      </c>
      <c r="Z51" s="24"/>
    </row>
    <row r="52" spans="6:26" x14ac:dyDescent="0.25">
      <c r="F52" s="18">
        <f t="shared" si="2"/>
        <v>49</v>
      </c>
      <c r="G52">
        <f t="shared" si="0"/>
        <v>0.19444444444444445</v>
      </c>
      <c r="H52" s="8">
        <v>6.8994017472635951E-3</v>
      </c>
      <c r="I52" s="8">
        <f ca="1">(interestRate-dividend-0.5*sigma^2)*1/252+sigma*SQRT(1/252)*_xlfn.NORM.S.INV(RAND())</f>
        <v>-2.639740200308435E-3</v>
      </c>
      <c r="J52" s="27">
        <f t="shared" ca="1" si="3"/>
        <v>112.22547883841682</v>
      </c>
      <c r="K52" s="20">
        <f t="shared" ca="1" si="4"/>
        <v>112.22547883841682</v>
      </c>
      <c r="L52" s="20">
        <f ca="1">BlackScholes(OptType,"Price",K52,Strike,time-G52,0,sigma,interestRate,dividend)</f>
        <v>9.5873005539884151</v>
      </c>
      <c r="M52" s="21">
        <f ca="1">L52*units*optMult*IF(Side="Short",-1,1)</f>
        <v>-95873.00553988415</v>
      </c>
      <c r="N52" s="6">
        <f ca="1">BlackScholes(OptType,"Delta",K52,Strike,time-G52,0,sigma,interestRate,dividend)*IF(Side="Short",-1,1)*units*optMult</f>
        <v>5184.6412279712204</v>
      </c>
      <c r="O52" s="6">
        <f ca="1">K52*EXP((interestRate-dividend)*(time-G52))</f>
        <v>112.22547883841682</v>
      </c>
      <c r="P52" s="19">
        <f>EXP((interestRate-dividend)*(time-G52))*futMult</f>
        <v>250</v>
      </c>
      <c r="Q52">
        <f t="shared" ca="1" si="1"/>
        <v>-20.738564911884882</v>
      </c>
      <c r="R52" s="32">
        <f t="shared" ca="1" si="5"/>
        <v>-0.24275901487278873</v>
      </c>
      <c r="S52" s="17">
        <f t="shared" ca="1" si="6"/>
        <v>-20.738564911884882</v>
      </c>
      <c r="T52" s="24">
        <f t="shared" ca="1" si="7"/>
        <v>-1331.1299926424545</v>
      </c>
      <c r="U52" s="24">
        <f t="shared" ca="1" si="8"/>
        <v>-1519.9559435569615</v>
      </c>
      <c r="V52" s="24">
        <f ca="1">S51*(O52-O51)*futMult</f>
        <v>1519.9559435569615</v>
      </c>
      <c r="W52" s="24">
        <f ca="1">T52+V52</f>
        <v>188.82595091450708</v>
      </c>
      <c r="X52" s="24">
        <f ca="1">X51+T52</f>
        <v>87335.045934449183</v>
      </c>
      <c r="Y52" s="24">
        <f t="shared" ca="1" si="9"/>
        <v>3880.5512802508156</v>
      </c>
      <c r="Z52" s="24"/>
    </row>
    <row r="53" spans="6:26" x14ac:dyDescent="0.25">
      <c r="F53" s="18">
        <f t="shared" si="2"/>
        <v>50</v>
      </c>
      <c r="G53">
        <f t="shared" si="0"/>
        <v>0.1984126984126984</v>
      </c>
      <c r="H53" s="8">
        <v>-2.0609343713015255E-3</v>
      </c>
      <c r="I53" s="8">
        <f ca="1">(interestRate-dividend-0.5*sigma^2)*1/252+sigma*SQRT(1/252)*_xlfn.NORM.S.INV(RAND())</f>
        <v>-1.0318129967302242E-2</v>
      </c>
      <c r="J53" s="27">
        <f t="shared" ca="1" si="3"/>
        <v>111.07347524406312</v>
      </c>
      <c r="K53" s="20">
        <f t="shared" ca="1" si="4"/>
        <v>111.07347524406312</v>
      </c>
      <c r="L53" s="20">
        <f ca="1">BlackScholes(OptType,"Price",K53,Strike,time-G53,0,sigma,interestRate,dividend)</f>
        <v>10.178219748893587</v>
      </c>
      <c r="M53" s="21">
        <f ca="1">L53*units*optMult*IF(Side="Short",-1,1)</f>
        <v>-101782.19748893588</v>
      </c>
      <c r="N53" s="6">
        <f ca="1">BlackScholes(OptType,"Delta",K53,Strike,time-G53,0,sigma,interestRate,dividend)*IF(Side="Short",-1,1)*units*optMult</f>
        <v>5416.0573138536574</v>
      </c>
      <c r="O53" s="6">
        <f ca="1">K53*EXP((interestRate-dividend)*(time-G53))</f>
        <v>111.07347524406312</v>
      </c>
      <c r="P53" s="19">
        <f>EXP((interestRate-dividend)*(time-G53))*futMult</f>
        <v>250</v>
      </c>
      <c r="Q53">
        <f t="shared" ca="1" si="1"/>
        <v>-21.664229255414629</v>
      </c>
      <c r="R53" s="32">
        <f t="shared" ca="1" si="5"/>
        <v>-0.92566434352974625</v>
      </c>
      <c r="S53" s="17">
        <f t="shared" ca="1" si="6"/>
        <v>-21.664229255414629</v>
      </c>
      <c r="T53" s="24">
        <f t="shared" ca="1" si="7"/>
        <v>-5909.1919490517321</v>
      </c>
      <c r="U53" s="24">
        <f t="shared" ca="1" si="8"/>
        <v>-5972.725330057232</v>
      </c>
      <c r="V53" s="24">
        <f ca="1">S52*(O53-O52)*futMult</f>
        <v>5972.7253300572329</v>
      </c>
      <c r="W53" s="24">
        <f ca="1">T53+V53</f>
        <v>63.533381005500814</v>
      </c>
      <c r="X53" s="24">
        <f ca="1">X52+T53</f>
        <v>81425.853985397451</v>
      </c>
      <c r="Y53" s="24">
        <f t="shared" ca="1" si="9"/>
        <v>9853.2766103080485</v>
      </c>
      <c r="Z53" s="24"/>
    </row>
    <row r="54" spans="6:26" x14ac:dyDescent="0.25">
      <c r="F54" s="18">
        <f t="shared" si="2"/>
        <v>51</v>
      </c>
      <c r="G54">
        <f t="shared" si="0"/>
        <v>0.20238095238095238</v>
      </c>
      <c r="H54" s="8">
        <v>8.102546799703186E-3</v>
      </c>
      <c r="I54" s="8">
        <f ca="1">(interestRate-dividend-0.5*sigma^2)*1/252+sigma*SQRT(1/252)*_xlfn.NORM.S.INV(RAND())</f>
        <v>-1.3012747010479149E-3</v>
      </c>
      <c r="J54" s="27">
        <f t="shared" ca="1" si="3"/>
        <v>110.92903214123058</v>
      </c>
      <c r="K54" s="20">
        <f t="shared" ca="1" si="4"/>
        <v>110.92903214123058</v>
      </c>
      <c r="L54" s="20">
        <f ca="1">BlackScholes(OptType,"Price",K54,Strike,time-G54,0,sigma,interestRate,dividend)</f>
        <v>10.237143201087889</v>
      </c>
      <c r="M54" s="21">
        <f ca="1">L54*units*optMult*IF(Side="Short",-1,1)</f>
        <v>-102371.4320108789</v>
      </c>
      <c r="N54" s="6">
        <f ca="1">BlackScholes(OptType,"Delta",K54,Strike,time-G54,0,sigma,interestRate,dividend)*IF(Side="Short",-1,1)*units*optMult</f>
        <v>5447.742163584122</v>
      </c>
      <c r="O54" s="6">
        <f ca="1">K54*EXP((interestRate-dividend)*(time-G54))</f>
        <v>110.92903214123058</v>
      </c>
      <c r="P54" s="19">
        <f>EXP((interestRate-dividend)*(time-G54))*futMult</f>
        <v>250</v>
      </c>
      <c r="Q54">
        <f t="shared" ca="1" si="1"/>
        <v>-21.790968654336488</v>
      </c>
      <c r="R54" s="32">
        <f t="shared" ca="1" si="5"/>
        <v>-0.1267393989218597</v>
      </c>
      <c r="S54" s="17">
        <f t="shared" ca="1" si="6"/>
        <v>-21.790968654336488</v>
      </c>
      <c r="T54" s="24">
        <f t="shared" ca="1" si="7"/>
        <v>-589.23452194301353</v>
      </c>
      <c r="U54" s="24">
        <f t="shared" ca="1" si="8"/>
        <v>-782.31212353189255</v>
      </c>
      <c r="V54" s="24">
        <f ca="1">S53*(O54-O53)*futMult</f>
        <v>782.31212353189255</v>
      </c>
      <c r="W54" s="24">
        <f ca="1">T54+V54</f>
        <v>193.07760158887902</v>
      </c>
      <c r="X54" s="24">
        <f ca="1">X53+T54</f>
        <v>80836.619463454437</v>
      </c>
      <c r="Y54" s="24">
        <f t="shared" ca="1" si="9"/>
        <v>10635.588733839941</v>
      </c>
      <c r="Z54" s="24"/>
    </row>
    <row r="55" spans="6:26" x14ac:dyDescent="0.25">
      <c r="F55" s="18">
        <f t="shared" si="2"/>
        <v>52</v>
      </c>
      <c r="G55">
        <f t="shared" si="0"/>
        <v>0.20634920634920634</v>
      </c>
      <c r="H55" s="8">
        <v>2.6706857866158049E-2</v>
      </c>
      <c r="I55" s="8">
        <f ca="1">(interestRate-dividend-0.5*sigma^2)*1/252+sigma*SQRT(1/252)*_xlfn.NORM.S.INV(RAND())</f>
        <v>-9.362267948277582E-3</v>
      </c>
      <c r="J55" s="27">
        <f t="shared" ca="1" si="3"/>
        <v>109.89533126187675</v>
      </c>
      <c r="K55" s="20">
        <f t="shared" ca="1" si="4"/>
        <v>109.89533126187675</v>
      </c>
      <c r="L55" s="20">
        <f ca="1">BlackScholes(OptType,"Price",K55,Strike,time-G55,0,sigma,interestRate,dividend)</f>
        <v>10.791736316594799</v>
      </c>
      <c r="M55" s="21">
        <f ca="1">L55*units*optMult*IF(Side="Short",-1,1)</f>
        <v>-107917.363165948</v>
      </c>
      <c r="N55" s="6">
        <f ca="1">BlackScholes(OptType,"Delta",K55,Strike,time-G55,0,sigma,interestRate,dividend)*IF(Side="Short",-1,1)*units*optMult</f>
        <v>5658.195443100848</v>
      </c>
      <c r="O55" s="6">
        <f ca="1">K55*EXP((interestRate-dividend)*(time-G55))</f>
        <v>109.89533126187675</v>
      </c>
      <c r="P55" s="19">
        <f>EXP((interestRate-dividend)*(time-G55))*futMult</f>
        <v>250</v>
      </c>
      <c r="Q55">
        <f t="shared" ca="1" si="1"/>
        <v>-22.632781772403391</v>
      </c>
      <c r="R55" s="32">
        <f t="shared" ca="1" si="5"/>
        <v>-0.84181311806690218</v>
      </c>
      <c r="S55" s="17">
        <f t="shared" ca="1" si="6"/>
        <v>-22.632781772403391</v>
      </c>
      <c r="T55" s="24">
        <f t="shared" ca="1" si="7"/>
        <v>-5545.9311550691054</v>
      </c>
      <c r="U55" s="24">
        <f t="shared" ca="1" si="8"/>
        <v>-5631.3358649898446</v>
      </c>
      <c r="V55" s="24">
        <f ca="1">S54*(O55-O54)*futMult</f>
        <v>5631.3358649898455</v>
      </c>
      <c r="W55" s="24">
        <f ca="1">T55+V55</f>
        <v>85.404709920740061</v>
      </c>
      <c r="X55" s="24">
        <f ca="1">X54+T55</f>
        <v>75290.688308385332</v>
      </c>
      <c r="Y55" s="24">
        <f t="shared" ca="1" si="9"/>
        <v>16266.924598829786</v>
      </c>
      <c r="Z55" s="24"/>
    </row>
    <row r="56" spans="6:26" x14ac:dyDescent="0.25">
      <c r="F56" s="18">
        <f t="shared" si="2"/>
        <v>53</v>
      </c>
      <c r="G56">
        <f t="shared" si="0"/>
        <v>0.21031746031746032</v>
      </c>
      <c r="H56" s="8">
        <v>-6.260155452038515E-3</v>
      </c>
      <c r="I56" s="8">
        <f ca="1">(interestRate-dividend-0.5*sigma^2)*1/252+sigma*SQRT(1/252)*_xlfn.NORM.S.INV(RAND())</f>
        <v>2.6351432397547767E-2</v>
      </c>
      <c r="J56" s="27">
        <f t="shared" ca="1" si="3"/>
        <v>112.82972357370171</v>
      </c>
      <c r="K56" s="20">
        <f t="shared" ca="1" si="4"/>
        <v>112.82972357370171</v>
      </c>
      <c r="L56" s="20">
        <f ca="1">BlackScholes(OptType,"Price",K56,Strike,time-G56,0,sigma,interestRate,dividend)</f>
        <v>9.1976377315126587</v>
      </c>
      <c r="M56" s="21">
        <f ca="1">L56*units*optMult*IF(Side="Short",-1,1)</f>
        <v>-91976.377315126592</v>
      </c>
      <c r="N56" s="6">
        <f ca="1">BlackScholes(OptType,"Delta",K56,Strike,time-G56,0,sigma,interestRate,dividend)*IF(Side="Short",-1,1)*units*optMult</f>
        <v>5073.1424269653917</v>
      </c>
      <c r="O56" s="6">
        <f ca="1">K56*EXP((interestRate-dividend)*(time-G56))</f>
        <v>112.82972357370171</v>
      </c>
      <c r="P56" s="19">
        <f>EXP((interestRate-dividend)*(time-G56))*futMult</f>
        <v>250</v>
      </c>
      <c r="Q56">
        <f t="shared" ca="1" si="1"/>
        <v>-20.292569707861567</v>
      </c>
      <c r="R56" s="32">
        <f t="shared" ca="1" si="5"/>
        <v>2.3402120645418236</v>
      </c>
      <c r="S56" s="17">
        <f t="shared" ca="1" si="6"/>
        <v>-20.292569707861567</v>
      </c>
      <c r="T56" s="24">
        <f t="shared" ca="1" si="7"/>
        <v>15940.985850821409</v>
      </c>
      <c r="U56" s="24">
        <f t="shared" ca="1" si="8"/>
        <v>16603.36520703818</v>
      </c>
      <c r="V56" s="24">
        <f ca="1">S55*(O56-O55)*futMult</f>
        <v>-16603.365207038176</v>
      </c>
      <c r="W56" s="24">
        <f ca="1">T56+V56</f>
        <v>-662.37935621676661</v>
      </c>
      <c r="X56" s="24">
        <f ca="1">X55+T56</f>
        <v>91231.674159206741</v>
      </c>
      <c r="Y56" s="24">
        <f t="shared" ca="1" si="9"/>
        <v>-336.44060820838968</v>
      </c>
      <c r="Z56" s="24"/>
    </row>
    <row r="57" spans="6:26" x14ac:dyDescent="0.25">
      <c r="F57" s="18">
        <f t="shared" si="2"/>
        <v>54</v>
      </c>
      <c r="G57">
        <f t="shared" si="0"/>
        <v>0.21428571428571427</v>
      </c>
      <c r="H57" s="8">
        <v>-2.5905801865136437E-2</v>
      </c>
      <c r="I57" s="8">
        <f ca="1">(interestRate-dividend-0.5*sigma^2)*1/252+sigma*SQRT(1/252)*_xlfn.NORM.S.INV(RAND())</f>
        <v>9.2659049482030544E-3</v>
      </c>
      <c r="J57" s="27">
        <f t="shared" ca="1" si="3"/>
        <v>113.88005167301024</v>
      </c>
      <c r="K57" s="20">
        <f t="shared" ca="1" si="4"/>
        <v>113.88005167301024</v>
      </c>
      <c r="L57" s="20">
        <f ca="1">BlackScholes(OptType,"Price",K57,Strike,time-G57,0,sigma,interestRate,dividend)</f>
        <v>8.655428544792402</v>
      </c>
      <c r="M57" s="21">
        <f ca="1">L57*units*optMult*IF(Side="Short",-1,1)</f>
        <v>-86554.28544792402</v>
      </c>
      <c r="N57" s="6">
        <f ca="1">BlackScholes(OptType,"Delta",K57,Strike,time-G57,0,sigma,interestRate,dividend)*IF(Side="Short",-1,1)*units*optMult</f>
        <v>4866.6276663788276</v>
      </c>
      <c r="O57" s="6">
        <f ca="1">K57*EXP((interestRate-dividend)*(time-G57))</f>
        <v>113.88005167301024</v>
      </c>
      <c r="P57" s="19">
        <f>EXP((interestRate-dividend)*(time-G57))*futMult</f>
        <v>250</v>
      </c>
      <c r="Q57">
        <f t="shared" ca="1" si="1"/>
        <v>-19.466510665515312</v>
      </c>
      <c r="R57" s="32">
        <f t="shared" ca="1" si="5"/>
        <v>0.82605904234625527</v>
      </c>
      <c r="S57" s="17">
        <f t="shared" ca="1" si="6"/>
        <v>-19.466510665515312</v>
      </c>
      <c r="T57" s="24">
        <f t="shared" ca="1" si="7"/>
        <v>5422.0918672025728</v>
      </c>
      <c r="U57" s="24">
        <f t="shared" ca="1" si="8"/>
        <v>5328.4640428360217</v>
      </c>
      <c r="V57" s="24">
        <f ca="1">S56*(O57-O56)*futMult</f>
        <v>-5328.4640428360226</v>
      </c>
      <c r="W57" s="24">
        <f ca="1">T57+V57</f>
        <v>93.627824366550158</v>
      </c>
      <c r="X57" s="24">
        <f ca="1">X56+T57</f>
        <v>96653.766026409314</v>
      </c>
      <c r="Y57" s="24">
        <f t="shared" ca="1" si="9"/>
        <v>-5664.9046510444123</v>
      </c>
      <c r="Z57" s="24"/>
    </row>
    <row r="58" spans="6:26" x14ac:dyDescent="0.25">
      <c r="F58" s="18">
        <f t="shared" si="2"/>
        <v>55</v>
      </c>
      <c r="G58">
        <f t="shared" si="0"/>
        <v>0.21825396825396826</v>
      </c>
      <c r="H58" s="8">
        <v>1.2538502647299511E-2</v>
      </c>
      <c r="I58" s="8">
        <f ca="1">(interestRate-dividend-0.5*sigma^2)*1/252+sigma*SQRT(1/252)*_xlfn.NORM.S.INV(RAND())</f>
        <v>1.7792524309961734E-2</v>
      </c>
      <c r="J58" s="27">
        <f t="shared" ca="1" si="3"/>
        <v>115.92439837304813</v>
      </c>
      <c r="K58" s="20">
        <f t="shared" ca="1" si="4"/>
        <v>115.92439837304813</v>
      </c>
      <c r="L58" s="20">
        <f ca="1">BlackScholes(OptType,"Price",K58,Strike,time-G58,0,sigma,interestRate,dividend)</f>
        <v>7.6809206887513071</v>
      </c>
      <c r="M58" s="21">
        <f ca="1">L58*units*optMult*IF(Side="Short",-1,1)</f>
        <v>-76809.206887513079</v>
      </c>
      <c r="N58" s="6">
        <f ca="1">BlackScholes(OptType,"Delta",K58,Strike,time-G58,0,sigma,interestRate,dividend)*IF(Side="Short",-1,1)*units*optMult</f>
        <v>4468.2328653839368</v>
      </c>
      <c r="O58" s="6">
        <f ca="1">K58*EXP((interestRate-dividend)*(time-G58))</f>
        <v>115.92439837304813</v>
      </c>
      <c r="P58" s="19">
        <f>EXP((interestRate-dividend)*(time-G58))*futMult</f>
        <v>250</v>
      </c>
      <c r="Q58">
        <f t="shared" ca="1" si="1"/>
        <v>-17.872931461535746</v>
      </c>
      <c r="R58" s="32">
        <f t="shared" ca="1" si="5"/>
        <v>1.5935792039795658</v>
      </c>
      <c r="S58" s="17">
        <f t="shared" ca="1" si="6"/>
        <v>-17.872931461535746</v>
      </c>
      <c r="T58" s="24">
        <f t="shared" ca="1" si="7"/>
        <v>9745.0785604109406</v>
      </c>
      <c r="U58" s="24">
        <f t="shared" ca="1" si="8"/>
        <v>9949.0742100746611</v>
      </c>
      <c r="V58" s="24">
        <f ca="1">S57*(O58-O57)*futMult</f>
        <v>-9949.0742100746629</v>
      </c>
      <c r="W58" s="24">
        <f ca="1">T58+V58</f>
        <v>-203.99564966372236</v>
      </c>
      <c r="X58" s="24">
        <f ca="1">X57+T58</f>
        <v>106398.84458682025</v>
      </c>
      <c r="Y58" s="24">
        <f t="shared" ca="1" si="9"/>
        <v>-15613.978861119074</v>
      </c>
      <c r="Z58" s="24"/>
    </row>
    <row r="59" spans="6:26" x14ac:dyDescent="0.25">
      <c r="F59" s="18">
        <f t="shared" si="2"/>
        <v>56</v>
      </c>
      <c r="G59">
        <f t="shared" si="0"/>
        <v>0.22222222222222221</v>
      </c>
      <c r="H59" s="8">
        <v>-1.510410172223187E-2</v>
      </c>
      <c r="I59" s="8">
        <f ca="1">(interestRate-dividend-0.5*sigma^2)*1/252+sigma*SQRT(1/252)*_xlfn.NORM.S.INV(RAND())</f>
        <v>3.6952687896669341E-2</v>
      </c>
      <c r="J59" s="27">
        <f t="shared" ca="1" si="3"/>
        <v>120.28824791192875</v>
      </c>
      <c r="K59" s="20">
        <f t="shared" ca="1" si="4"/>
        <v>120.28824791192875</v>
      </c>
      <c r="L59" s="20">
        <f ca="1">BlackScholes(OptType,"Price",K59,Strike,time-G59,0,sigma,interestRate,dividend)</f>
        <v>5.8897770469141024</v>
      </c>
      <c r="M59" s="21">
        <f ca="1">L59*units*optMult*IF(Side="Short",-1,1)</f>
        <v>-58897.770469141025</v>
      </c>
      <c r="N59" s="6">
        <f ca="1">BlackScholes(OptType,"Delta",K59,Strike,time-G59,0,sigma,interestRate,dividend)*IF(Side="Short",-1,1)*units*optMult</f>
        <v>3657.6757827226002</v>
      </c>
      <c r="O59" s="6">
        <f ca="1">K59*EXP((interestRate-dividend)*(time-G59))</f>
        <v>120.28824791192875</v>
      </c>
      <c r="P59" s="19">
        <f>EXP((interestRate-dividend)*(time-G59))*futMult</f>
        <v>250</v>
      </c>
      <c r="Q59">
        <f t="shared" ca="1" si="1"/>
        <v>-14.630703130890401</v>
      </c>
      <c r="R59" s="32">
        <f t="shared" ca="1" si="5"/>
        <v>3.2422283306453448</v>
      </c>
      <c r="S59" s="17">
        <f t="shared" ca="1" si="6"/>
        <v>-14.630703130890401</v>
      </c>
      <c r="T59" s="24">
        <f t="shared" ca="1" si="7"/>
        <v>17911.436418372054</v>
      </c>
      <c r="U59" s="24">
        <f t="shared" ca="1" si="8"/>
        <v>19498.695929216901</v>
      </c>
      <c r="V59" s="24">
        <f ca="1">S58*(O59-O58)*futMult</f>
        <v>-19498.695929216901</v>
      </c>
      <c r="W59" s="24">
        <f ca="1">T59+V59</f>
        <v>-1587.2595108448477</v>
      </c>
      <c r="X59" s="24">
        <f ca="1">X58+T59</f>
        <v>124310.28100519232</v>
      </c>
      <c r="Y59" s="24">
        <f t="shared" ca="1" si="9"/>
        <v>-35112.674790335979</v>
      </c>
      <c r="Z59" s="24"/>
    </row>
    <row r="60" spans="6:26" x14ac:dyDescent="0.25">
      <c r="F60" s="18">
        <f t="shared" si="2"/>
        <v>57</v>
      </c>
      <c r="G60">
        <f t="shared" si="0"/>
        <v>0.22619047619047619</v>
      </c>
      <c r="H60" s="8">
        <v>4.8922636889715525E-3</v>
      </c>
      <c r="I60" s="8">
        <f ca="1">(interestRate-dividend-0.5*sigma^2)*1/252+sigma*SQRT(1/252)*_xlfn.NORM.S.INV(RAND())</f>
        <v>-1.3364932717475771E-3</v>
      </c>
      <c r="J60" s="27">
        <f t="shared" ca="1" si="3"/>
        <v>120.12759086037238</v>
      </c>
      <c r="K60" s="20">
        <f t="shared" ca="1" si="4"/>
        <v>120.12759086037238</v>
      </c>
      <c r="L60" s="20">
        <f ca="1">BlackScholes(OptType,"Price",K60,Strike,time-G60,0,sigma,interestRate,dividend)</f>
        <v>5.9283609851289238</v>
      </c>
      <c r="M60" s="21">
        <f ca="1">L60*units*optMult*IF(Side="Short",-1,1)</f>
        <v>-59283.609851289235</v>
      </c>
      <c r="N60" s="6">
        <f ca="1">BlackScholes(OptType,"Delta",K60,Strike,time-G60,0,sigma,interestRate,dividend)*IF(Side="Short",-1,1)*units*optMult</f>
        <v>3684.6747996064196</v>
      </c>
      <c r="O60" s="6">
        <f ca="1">K60*EXP((interestRate-dividend)*(time-G60))</f>
        <v>120.12759086037238</v>
      </c>
      <c r="P60" s="19">
        <f>EXP((interestRate-dividend)*(time-G60))*futMult</f>
        <v>250</v>
      </c>
      <c r="Q60">
        <f t="shared" ca="1" si="1"/>
        <v>-14.738699198425678</v>
      </c>
      <c r="R60" s="32">
        <f t="shared" ca="1" si="5"/>
        <v>-0.10799606753527691</v>
      </c>
      <c r="S60" s="17">
        <f t="shared" ca="1" si="6"/>
        <v>-14.738699198425678</v>
      </c>
      <c r="T60" s="24">
        <f t="shared" ca="1" si="7"/>
        <v>-385.83938214820955</v>
      </c>
      <c r="U60" s="24">
        <f t="shared" ca="1" si="8"/>
        <v>-587.631406801352</v>
      </c>
      <c r="V60" s="24">
        <f ca="1">S59*(O60-O59)*futMult</f>
        <v>587.63140680135211</v>
      </c>
      <c r="W60" s="24">
        <f ca="1">T60+V60</f>
        <v>201.79202465314256</v>
      </c>
      <c r="X60" s="24">
        <f ca="1">X59+T60</f>
        <v>123924.44162304411</v>
      </c>
      <c r="Y60" s="24">
        <f t="shared" ca="1" si="9"/>
        <v>-34525.043383534627</v>
      </c>
      <c r="Z60" s="24"/>
    </row>
    <row r="61" spans="6:26" x14ac:dyDescent="0.25">
      <c r="F61" s="18">
        <f t="shared" si="2"/>
        <v>58</v>
      </c>
      <c r="G61">
        <f t="shared" si="0"/>
        <v>0.23015873015873015</v>
      </c>
      <c r="H61" s="8">
        <v>2.0893797502335902E-3</v>
      </c>
      <c r="I61" s="8">
        <f ca="1">(interestRate-dividend-0.5*sigma^2)*1/252+sigma*SQRT(1/252)*_xlfn.NORM.S.INV(RAND())</f>
        <v>9.9772284193272529E-3</v>
      </c>
      <c r="J61" s="27">
        <f t="shared" ca="1" si="3"/>
        <v>121.33213026408689</v>
      </c>
      <c r="K61" s="20">
        <f t="shared" ca="1" si="4"/>
        <v>121.33213026408689</v>
      </c>
      <c r="L61" s="20">
        <f ca="1">BlackScholes(OptType,"Price",K61,Strike,time-G61,0,sigma,interestRate,dividend)</f>
        <v>5.4771024581519825</v>
      </c>
      <c r="M61" s="21">
        <f ca="1">L61*units*optMult*IF(Side="Short",-1,1)</f>
        <v>-54771.024581519829</v>
      </c>
      <c r="N61" s="6">
        <f ca="1">BlackScholes(OptType,"Delta",K61,Strike,time-G61,0,sigma,interestRate,dividend)*IF(Side="Short",-1,1)*units*optMult</f>
        <v>3470.9187463668163</v>
      </c>
      <c r="O61" s="6">
        <f ca="1">K61*EXP((interestRate-dividend)*(time-G61))</f>
        <v>121.33213026408689</v>
      </c>
      <c r="P61" s="19">
        <f>EXP((interestRate-dividend)*(time-G61))*futMult</f>
        <v>250</v>
      </c>
      <c r="Q61">
        <f t="shared" ca="1" si="1"/>
        <v>-13.883674985467266</v>
      </c>
      <c r="R61" s="32">
        <f t="shared" ca="1" si="5"/>
        <v>0.85502421295841202</v>
      </c>
      <c r="S61" s="17">
        <f t="shared" ca="1" si="6"/>
        <v>-13.883674985467266</v>
      </c>
      <c r="T61" s="24">
        <f t="shared" ca="1" si="7"/>
        <v>4512.5852697694063</v>
      </c>
      <c r="U61" s="24">
        <f t="shared" ca="1" si="8"/>
        <v>4438.3359859997827</v>
      </c>
      <c r="V61" s="24">
        <f ca="1">S60*(O61-O60)*futMult</f>
        <v>-4438.3359859997827</v>
      </c>
      <c r="W61" s="24">
        <f ca="1">T61+V61</f>
        <v>74.249283769623617</v>
      </c>
      <c r="X61" s="24">
        <f ca="1">X60+T61</f>
        <v>128437.02689281352</v>
      </c>
      <c r="Y61" s="24">
        <f t="shared" ca="1" si="9"/>
        <v>-38963.379369534407</v>
      </c>
      <c r="Z61" s="24"/>
    </row>
    <row r="62" spans="6:26" x14ac:dyDescent="0.25">
      <c r="F62" s="18">
        <f t="shared" si="2"/>
        <v>59</v>
      </c>
      <c r="G62">
        <f t="shared" si="0"/>
        <v>0.23412698412698413</v>
      </c>
      <c r="H62" s="8">
        <v>-6.3590753257114722E-3</v>
      </c>
      <c r="I62" s="8">
        <f ca="1">(interestRate-dividend-0.5*sigma^2)*1/252+sigma*SQRT(1/252)*_xlfn.NORM.S.INV(RAND())</f>
        <v>-6.1893596296481983E-3</v>
      </c>
      <c r="J62" s="27">
        <f t="shared" ca="1" si="3"/>
        <v>120.58348129405339</v>
      </c>
      <c r="K62" s="20">
        <f t="shared" ca="1" si="4"/>
        <v>120.58348129405339</v>
      </c>
      <c r="L62" s="20">
        <f ca="1">BlackScholes(OptType,"Price",K62,Strike,time-G62,0,sigma,interestRate,dividend)</f>
        <v>5.7214131337455685</v>
      </c>
      <c r="M62" s="21">
        <f ca="1">L62*units*optMult*IF(Side="Short",-1,1)</f>
        <v>-57214.131337455685</v>
      </c>
      <c r="N62" s="6">
        <f ca="1">BlackScholes(OptType,"Delta",K62,Strike,time-G62,0,sigma,interestRate,dividend)*IF(Side="Short",-1,1)*units*optMult</f>
        <v>3600.2738679938707</v>
      </c>
      <c r="O62" s="6">
        <f ca="1">K62*EXP((interestRate-dividend)*(time-G62))</f>
        <v>120.58348129405339</v>
      </c>
      <c r="P62" s="19">
        <f>EXP((interestRate-dividend)*(time-G62))*futMult</f>
        <v>250</v>
      </c>
      <c r="Q62">
        <f t="shared" ca="1" si="1"/>
        <v>-14.401095471975482</v>
      </c>
      <c r="R62" s="32">
        <f t="shared" ca="1" si="5"/>
        <v>-0.51742048650821637</v>
      </c>
      <c r="S62" s="17">
        <f t="shared" ca="1" si="6"/>
        <v>-14.401095471975482</v>
      </c>
      <c r="T62" s="24">
        <f t="shared" ca="1" si="7"/>
        <v>-2443.1067559358562</v>
      </c>
      <c r="U62" s="24">
        <f t="shared" ca="1" si="8"/>
        <v>-2598.4997445374838</v>
      </c>
      <c r="V62" s="24">
        <f ca="1">S61*(O62-O61)*futMult</f>
        <v>2598.4997445374838</v>
      </c>
      <c r="W62" s="24">
        <f ca="1">T62+V62</f>
        <v>155.39298860162762</v>
      </c>
      <c r="X62" s="24">
        <f ca="1">X61+T62</f>
        <v>125993.92013687766</v>
      </c>
      <c r="Y62" s="24">
        <f t="shared" ca="1" si="9"/>
        <v>-36364.879624996924</v>
      </c>
      <c r="Z62" s="24"/>
    </row>
    <row r="63" spans="6:26" x14ac:dyDescent="0.25">
      <c r="F63" s="18">
        <f t="shared" si="2"/>
        <v>60</v>
      </c>
      <c r="G63">
        <f t="shared" si="0"/>
        <v>0.23809523809523808</v>
      </c>
      <c r="H63" s="8">
        <v>-1.6709547435673856E-2</v>
      </c>
      <c r="I63" s="8">
        <f ca="1">(interestRate-dividend-0.5*sigma^2)*1/252+sigma*SQRT(1/252)*_xlfn.NORM.S.INV(RAND())</f>
        <v>1.2278431525143166E-2</v>
      </c>
      <c r="J63" s="27">
        <f t="shared" ca="1" si="3"/>
        <v>122.07318420420094</v>
      </c>
      <c r="K63" s="20">
        <f t="shared" ca="1" si="4"/>
        <v>122.07318420420094</v>
      </c>
      <c r="L63" s="20">
        <f ca="1">BlackScholes(OptType,"Price",K63,Strike,time-G63,0,sigma,interestRate,dividend)</f>
        <v>5.1843284243422856</v>
      </c>
      <c r="M63" s="21">
        <f ca="1">L63*units*optMult*IF(Side="Short",-1,1)</f>
        <v>-51843.284243422851</v>
      </c>
      <c r="N63" s="6">
        <f ca="1">BlackScholes(OptType,"Delta",K63,Strike,time-G63,0,sigma,interestRate,dividend)*IF(Side="Short",-1,1)*units*optMult</f>
        <v>3338.9007637137743</v>
      </c>
      <c r="O63" s="6">
        <f ca="1">K63*EXP((interestRate-dividend)*(time-G63))</f>
        <v>122.07318420420094</v>
      </c>
      <c r="P63" s="19">
        <f>EXP((interestRate-dividend)*(time-G63))*futMult</f>
        <v>250</v>
      </c>
      <c r="Q63">
        <f t="shared" ca="1" si="1"/>
        <v>-13.355603054855097</v>
      </c>
      <c r="R63" s="32">
        <f t="shared" ca="1" si="5"/>
        <v>1.0454924171203857</v>
      </c>
      <c r="S63" s="17">
        <f t="shared" ca="1" si="6"/>
        <v>-13.355603054855097</v>
      </c>
      <c r="T63" s="24">
        <f t="shared" ca="1" si="7"/>
        <v>5370.8470940328334</v>
      </c>
      <c r="U63" s="24">
        <f t="shared" ca="1" si="8"/>
        <v>5363.33845847867</v>
      </c>
      <c r="V63" s="24">
        <f ca="1">S62*(O63-O62)*futMult</f>
        <v>-5363.33845847867</v>
      </c>
      <c r="W63" s="24">
        <f ca="1">T63+V63</f>
        <v>7.5086355541634475</v>
      </c>
      <c r="X63" s="24">
        <f ca="1">X62+T63</f>
        <v>131364.76723091048</v>
      </c>
      <c r="Y63" s="24">
        <f t="shared" ca="1" si="9"/>
        <v>-41728.218083475593</v>
      </c>
      <c r="Z63" s="24"/>
    </row>
    <row r="64" spans="6:26" x14ac:dyDescent="0.25">
      <c r="F64" s="18">
        <f t="shared" si="2"/>
        <v>61</v>
      </c>
      <c r="G64">
        <f t="shared" si="0"/>
        <v>0.24206349206349206</v>
      </c>
      <c r="H64" s="8">
        <v>1.5019172026096068E-3</v>
      </c>
      <c r="I64" s="8">
        <f ca="1">(interestRate-dividend-0.5*sigma^2)*1/252+sigma*SQRT(1/252)*_xlfn.NORM.S.INV(RAND())</f>
        <v>6.3011829986719375E-3</v>
      </c>
      <c r="J64" s="27">
        <f t="shared" ca="1" si="3"/>
        <v>122.84481822756038</v>
      </c>
      <c r="K64" s="20">
        <f t="shared" ca="1" si="4"/>
        <v>122.84481822756038</v>
      </c>
      <c r="L64" s="20">
        <f ca="1">BlackScholes(OptType,"Price",K64,Strike,time-G64,0,sigma,interestRate,dividend)</f>
        <v>4.9117161527631685</v>
      </c>
      <c r="M64" s="21">
        <f ca="1">L64*units*optMult*IF(Side="Short",-1,1)</f>
        <v>-49117.161527631688</v>
      </c>
      <c r="N64" s="6">
        <f ca="1">BlackScholes(OptType,"Delta",K64,Strike,time-G64,0,sigma,interestRate,dividend)*IF(Side="Short",-1,1)*units*optMult</f>
        <v>3205.8920924008112</v>
      </c>
      <c r="O64" s="6">
        <f ca="1">K64*EXP((interestRate-dividend)*(time-G64))</f>
        <v>122.84481822756038</v>
      </c>
      <c r="P64" s="19">
        <f>EXP((interestRate-dividend)*(time-G64))*futMult</f>
        <v>250</v>
      </c>
      <c r="Q64">
        <f t="shared" ca="1" si="1"/>
        <v>-12.823568369603244</v>
      </c>
      <c r="R64" s="32">
        <f t="shared" ca="1" si="5"/>
        <v>0.53203468525185293</v>
      </c>
      <c r="S64" s="17">
        <f t="shared" ca="1" si="6"/>
        <v>-12.823568369603244</v>
      </c>
      <c r="T64" s="24">
        <f t="shared" ca="1" si="7"/>
        <v>2726.1227157911635</v>
      </c>
      <c r="U64" s="24">
        <f t="shared" ca="1" si="8"/>
        <v>2576.4094299023645</v>
      </c>
      <c r="V64" s="24">
        <f ca="1">S63*(O64-O63)*futMult</f>
        <v>-2576.409429902365</v>
      </c>
      <c r="W64" s="24">
        <f ca="1">T64+V64</f>
        <v>149.71328588879851</v>
      </c>
      <c r="X64" s="24">
        <f ca="1">X63+T64</f>
        <v>134090.88994670165</v>
      </c>
      <c r="Y64" s="24">
        <f t="shared" ca="1" si="9"/>
        <v>-44304.627513377956</v>
      </c>
      <c r="Z64" s="24"/>
    </row>
    <row r="65" spans="6:26" x14ac:dyDescent="0.25">
      <c r="F65" s="18">
        <f t="shared" si="2"/>
        <v>62</v>
      </c>
      <c r="G65">
        <f t="shared" si="0"/>
        <v>0.24603174603174602</v>
      </c>
      <c r="H65" s="8">
        <v>4.2563317981869891E-3</v>
      </c>
      <c r="I65" s="8">
        <f ca="1">(interestRate-dividend-0.5*sigma^2)*1/252+sigma*SQRT(1/252)*_xlfn.NORM.S.INV(RAND())</f>
        <v>-1.0358876296070867E-2</v>
      </c>
      <c r="J65" s="27">
        <f t="shared" ca="1" si="3"/>
        <v>121.57885226482124</v>
      </c>
      <c r="K65" s="20">
        <f t="shared" ca="1" si="4"/>
        <v>121.57885226482124</v>
      </c>
      <c r="L65" s="20">
        <f ca="1">BlackScholes(OptType,"Price",K65,Strike,time-G65,0,sigma,interestRate,dividend)</f>
        <v>5.3107676843073941</v>
      </c>
      <c r="M65" s="21">
        <f ca="1">L65*units*optMult*IF(Side="Short",-1,1)</f>
        <v>-53107.676843073947</v>
      </c>
      <c r="N65" s="6">
        <f ca="1">BlackScholes(OptType,"Delta",K65,Strike,time-G65,0,sigma,interestRate,dividend)*IF(Side="Short",-1,1)*units*optMult</f>
        <v>3419.414801469849</v>
      </c>
      <c r="O65" s="6">
        <f ca="1">K65*EXP((interestRate-dividend)*(time-G65))</f>
        <v>121.57885226482124</v>
      </c>
      <c r="P65" s="19">
        <f>EXP((interestRate-dividend)*(time-G65))*futMult</f>
        <v>250</v>
      </c>
      <c r="Q65">
        <f t="shared" ca="1" si="1"/>
        <v>-13.677659205879396</v>
      </c>
      <c r="R65" s="32">
        <f t="shared" ca="1" si="5"/>
        <v>-0.85409083627615168</v>
      </c>
      <c r="S65" s="17">
        <f t="shared" ca="1" si="6"/>
        <v>-13.677659205879396</v>
      </c>
      <c r="T65" s="24">
        <f t="shared" ca="1" si="7"/>
        <v>-3990.5153154422587</v>
      </c>
      <c r="U65" s="24">
        <f t="shared" ca="1" si="8"/>
        <v>-4058.5502691940046</v>
      </c>
      <c r="V65" s="24">
        <f ca="1">S64*(O65-O64)*futMult</f>
        <v>4058.5502691940042</v>
      </c>
      <c r="W65" s="24">
        <f ca="1">T65+V65</f>
        <v>68.034953751745434</v>
      </c>
      <c r="X65" s="24">
        <f ca="1">X64+T65</f>
        <v>130100.37463125939</v>
      </c>
      <c r="Y65" s="24">
        <f t="shared" ca="1" si="9"/>
        <v>-40246.077244183951</v>
      </c>
      <c r="Z65" s="24"/>
    </row>
    <row r="66" spans="6:26" x14ac:dyDescent="0.25">
      <c r="F66" s="18">
        <f t="shared" si="2"/>
        <v>63</v>
      </c>
      <c r="G66">
        <f t="shared" si="0"/>
        <v>0.25</v>
      </c>
      <c r="H66" s="8">
        <v>-2.0902807543941554E-2</v>
      </c>
      <c r="I66" s="8">
        <f ca="1">(interestRate-dividend-0.5*sigma^2)*1/252+sigma*SQRT(1/252)*_xlfn.NORM.S.INV(RAND())</f>
        <v>-5.7297196397450127E-4</v>
      </c>
      <c r="J66" s="27">
        <f t="shared" ca="1" si="3"/>
        <v>121.50921094422867</v>
      </c>
      <c r="K66" s="20">
        <f t="shared" ca="1" si="4"/>
        <v>121.50921094422867</v>
      </c>
      <c r="L66" s="20">
        <f ca="1">BlackScholes(OptType,"Price",K66,Strike,time-G66,0,sigma,interestRate,dividend)</f>
        <v>5.314180258244579</v>
      </c>
      <c r="M66" s="21">
        <f ca="1">L66*units*optMult*IF(Side="Short",-1,1)</f>
        <v>-53141.802582445795</v>
      </c>
      <c r="N66" s="6">
        <f ca="1">BlackScholes(OptType,"Delta",K66,Strike,time-G66,0,sigma,interestRate,dividend)*IF(Side="Short",-1,1)*units*optMult</f>
        <v>3429.2999564681877</v>
      </c>
      <c r="O66" s="6">
        <f ca="1">K66*EXP((interestRate-dividend)*(time-G66))</f>
        <v>121.50921094422867</v>
      </c>
      <c r="P66" s="19">
        <f>EXP((interestRate-dividend)*(time-G66))*futMult</f>
        <v>250</v>
      </c>
      <c r="Q66">
        <f t="shared" ca="1" si="1"/>
        <v>-13.717199825872751</v>
      </c>
      <c r="R66" s="32">
        <f t="shared" ca="1" si="5"/>
        <v>-3.9540619993355008E-2</v>
      </c>
      <c r="S66" s="17">
        <f t="shared" ca="1" si="6"/>
        <v>-13.717199825872751</v>
      </c>
      <c r="T66" s="24">
        <f t="shared" ca="1" si="7"/>
        <v>-34.125739371847885</v>
      </c>
      <c r="U66" s="24">
        <f t="shared" ca="1" si="8"/>
        <v>-238.13256242812909</v>
      </c>
      <c r="V66" s="24">
        <f ca="1">S65*(O66-O65)*futMult</f>
        <v>238.13256242812909</v>
      </c>
      <c r="W66" s="24">
        <f ca="1">T66+V66</f>
        <v>204.00682305628121</v>
      </c>
      <c r="X66" s="24">
        <f ca="1">X65+T66</f>
        <v>130066.24889188755</v>
      </c>
      <c r="Y66" s="24">
        <f t="shared" ca="1" si="9"/>
        <v>-40007.94468175582</v>
      </c>
      <c r="Z66" s="24"/>
    </row>
    <row r="67" spans="6:26" x14ac:dyDescent="0.25">
      <c r="F67" s="18">
        <f t="shared" si="2"/>
        <v>64</v>
      </c>
      <c r="G67">
        <f t="shared" si="0"/>
        <v>0.25396825396825395</v>
      </c>
      <c r="H67" s="8">
        <v>-1.8399708546110855E-2</v>
      </c>
      <c r="I67" s="8">
        <f ca="1">(interestRate-dividend-0.5*sigma^2)*1/252+sigma*SQRT(1/252)*_xlfn.NORM.S.INV(RAND())</f>
        <v>1.2236714394892607E-2</v>
      </c>
      <c r="J67" s="27">
        <f t="shared" ca="1" si="3"/>
        <v>123.00521889864963</v>
      </c>
      <c r="K67" s="20">
        <f t="shared" ca="1" si="4"/>
        <v>123.00521889864963</v>
      </c>
      <c r="L67" s="20">
        <f ca="1">BlackScholes(OptType,"Price",K67,Strike,time-G67,0,sigma,interestRate,dividend)</f>
        <v>4.8003197246748588</v>
      </c>
      <c r="M67" s="21">
        <f ca="1">L67*units*optMult*IF(Side="Short",-1,1)</f>
        <v>-48003.19724674859</v>
      </c>
      <c r="N67" s="6">
        <f ca="1">BlackScholes(OptType,"Delta",K67,Strike,time-G67,0,sigma,interestRate,dividend)*IF(Side="Short",-1,1)*units*optMult</f>
        <v>3170.6178552683441</v>
      </c>
      <c r="O67" s="6">
        <f ca="1">K67*EXP((interestRate-dividend)*(time-G67))</f>
        <v>123.00521889864963</v>
      </c>
      <c r="P67" s="19">
        <f>EXP((interestRate-dividend)*(time-G67))*futMult</f>
        <v>250</v>
      </c>
      <c r="Q67">
        <f t="shared" ca="1" si="1"/>
        <v>-12.682471421073377</v>
      </c>
      <c r="R67" s="32">
        <f t="shared" ca="1" si="5"/>
        <v>1.0347284047993739</v>
      </c>
      <c r="S67" s="17">
        <f t="shared" ca="1" si="6"/>
        <v>-12.682471421073377</v>
      </c>
      <c r="T67" s="24">
        <f t="shared" ca="1" si="7"/>
        <v>5138.6053356972043</v>
      </c>
      <c r="U67" s="24">
        <f t="shared" ca="1" si="8"/>
        <v>5130.260012971863</v>
      </c>
      <c r="V67" s="24">
        <f ca="1">S66*(O67-O66)*futMult</f>
        <v>-5130.2600129718621</v>
      </c>
      <c r="W67" s="24">
        <f ca="1">T67+V67</f>
        <v>8.3453227253421574</v>
      </c>
      <c r="X67" s="24">
        <f ca="1">X66+T67</f>
        <v>135204.85422758476</v>
      </c>
      <c r="Y67" s="24">
        <f t="shared" ca="1" si="9"/>
        <v>-45138.204694727683</v>
      </c>
      <c r="Z67" s="24"/>
    </row>
    <row r="68" spans="6:26" x14ac:dyDescent="0.25">
      <c r="F68" s="18">
        <f t="shared" si="2"/>
        <v>65</v>
      </c>
      <c r="G68">
        <f t="shared" ref="G68:G131" si="10">F68/252</f>
        <v>0.25793650793650796</v>
      </c>
      <c r="H68" s="8">
        <v>1.791770339539081E-2</v>
      </c>
      <c r="I68" s="8">
        <f ca="1">(interestRate-dividend-0.5*sigma^2)*1/252+sigma*SQRT(1/252)*_xlfn.NORM.S.INV(RAND())</f>
        <v>-5.2108410782195982E-3</v>
      </c>
      <c r="J68" s="27">
        <f t="shared" ca="1" si="3"/>
        <v>122.36592532633465</v>
      </c>
      <c r="K68" s="20">
        <f t="shared" ca="1" si="4"/>
        <v>122.36592532633465</v>
      </c>
      <c r="L68" s="20">
        <f ca="1">BlackScholes(OptType,"Price",K68,Strike,time-G68,0,sigma,interestRate,dividend)</f>
        <v>4.9861326303250717</v>
      </c>
      <c r="M68" s="21">
        <f ca="1">L68*units*optMult*IF(Side="Short",-1,1)</f>
        <v>-49861.326303250717</v>
      </c>
      <c r="N68" s="6">
        <f ca="1">BlackScholes(OptType,"Delta",K68,Strike,time-G68,0,sigma,interestRate,dividend)*IF(Side="Short",-1,1)*units*optMult</f>
        <v>3276.1954396697374</v>
      </c>
      <c r="O68" s="6">
        <f ca="1">K68*EXP((interestRate-dividend)*(time-G68))</f>
        <v>122.36592532633465</v>
      </c>
      <c r="P68" s="19">
        <f>EXP((interestRate-dividend)*(time-G68))*futMult</f>
        <v>250</v>
      </c>
      <c r="Q68">
        <f t="shared" ref="Q68:Q131" ca="1" si="11">-N68/P68</f>
        <v>-13.10478175867895</v>
      </c>
      <c r="R68" s="32">
        <f t="shared" ca="1" si="5"/>
        <v>-0.42231033760557324</v>
      </c>
      <c r="S68" s="17">
        <f t="shared" ca="1" si="6"/>
        <v>-13.10478175867895</v>
      </c>
      <c r="T68" s="24">
        <f t="shared" ca="1" si="7"/>
        <v>-1858.1290565021263</v>
      </c>
      <c r="U68" s="24">
        <f t="shared" ca="1" si="8"/>
        <v>-2026.9556151401703</v>
      </c>
      <c r="V68" s="24">
        <f ca="1">S67*(O68-O67)*futMult</f>
        <v>2026.9556151401705</v>
      </c>
      <c r="W68" s="24">
        <f ca="1">T68+V68</f>
        <v>168.82655863804416</v>
      </c>
      <c r="X68" s="24">
        <f ca="1">X67+T68</f>
        <v>133346.72517108262</v>
      </c>
      <c r="Y68" s="24">
        <f t="shared" ca="1" si="9"/>
        <v>-43111.249079587513</v>
      </c>
      <c r="Z68" s="24"/>
    </row>
    <row r="69" spans="6:26" x14ac:dyDescent="0.25">
      <c r="F69" s="18">
        <f t="shared" ref="F69:F132" si="12">F68+1</f>
        <v>66</v>
      </c>
      <c r="G69">
        <f t="shared" si="10"/>
        <v>0.26190476190476192</v>
      </c>
      <c r="H69" s="8">
        <v>-6.9343932119569126E-3</v>
      </c>
      <c r="I69" s="8">
        <f ca="1">(interestRate-dividend-0.5*sigma^2)*1/252+sigma*SQRT(1/252)*_xlfn.NORM.S.INV(RAND())</f>
        <v>-2.5939123407638244E-2</v>
      </c>
      <c r="J69" s="27">
        <f t="shared" ref="J69:J132" ca="1" si="13">J68*EXP(I69)</f>
        <v>119.23267307579559</v>
      </c>
      <c r="K69" s="20">
        <f t="shared" ref="K69:K132" ca="1" si="14">IF($C$25="BM Theoretical",J69,K68*EXP(H69))</f>
        <v>119.23267307579559</v>
      </c>
      <c r="L69" s="20">
        <f ca="1">BlackScholes(OptType,"Price",K69,Strike,time-G69,0,sigma,interestRate,dividend)</f>
        <v>6.0782119327723256</v>
      </c>
      <c r="M69" s="21">
        <f ca="1">L69*units*optMult*IF(Side="Short",-1,1)</f>
        <v>-60782.119327723252</v>
      </c>
      <c r="N69" s="6">
        <f ca="1">BlackScholes(OptType,"Delta",K69,Strike,time-G69,0,sigma,interestRate,dividend)*IF(Side="Short",-1,1)*units*optMult</f>
        <v>3835.1189863177533</v>
      </c>
      <c r="O69" s="6">
        <f ca="1">K69*EXP((interestRate-dividend)*(time-G69))</f>
        <v>119.23267307579559</v>
      </c>
      <c r="P69" s="19">
        <f>EXP((interestRate-dividend)*(time-G69))*futMult</f>
        <v>250</v>
      </c>
      <c r="Q69">
        <f t="shared" ca="1" si="11"/>
        <v>-15.340475945271013</v>
      </c>
      <c r="R69" s="32">
        <f t="shared" ref="R69:R132" ca="1" si="15">Q69-Q68</f>
        <v>-2.2356941865920632</v>
      </c>
      <c r="S69" s="17">
        <f t="shared" ref="S69:S132" ca="1" si="16">S68+R69</f>
        <v>-15.340475945271013</v>
      </c>
      <c r="T69" s="24">
        <f t="shared" ref="T69:T132" ca="1" si="17">M69-M68</f>
        <v>-10920.793024472536</v>
      </c>
      <c r="U69" s="24">
        <f t="shared" ref="U69:U132" ca="1" si="18">N68*(K69-K68)</f>
        <v>-10265.146734551005</v>
      </c>
      <c r="V69" s="24">
        <f ca="1">S68*(O69-O68)*futMult</f>
        <v>10265.146734551005</v>
      </c>
      <c r="W69" s="24">
        <f ca="1">T69+V69</f>
        <v>-655.64628992153121</v>
      </c>
      <c r="X69" s="24">
        <f ca="1">X68+T69</f>
        <v>122425.93214661008</v>
      </c>
      <c r="Y69" s="24">
        <f t="shared" ref="Y69:Y132" ca="1" si="19">Y68+V69</f>
        <v>-32846.10234503651</v>
      </c>
      <c r="Z69" s="24"/>
    </row>
    <row r="70" spans="6:26" x14ac:dyDescent="0.25">
      <c r="F70" s="18">
        <f t="shared" si="12"/>
        <v>67</v>
      </c>
      <c r="G70">
        <f t="shared" si="10"/>
        <v>0.26587301587301587</v>
      </c>
      <c r="H70" s="8">
        <v>1.094402167931721E-2</v>
      </c>
      <c r="I70" s="8">
        <f ca="1">(interestRate-dividend-0.5*sigma^2)*1/252+sigma*SQRT(1/252)*_xlfn.NORM.S.INV(RAND())</f>
        <v>8.9487389772245091E-3</v>
      </c>
      <c r="J70" s="27">
        <f t="shared" ca="1" si="13"/>
        <v>120.30444348927917</v>
      </c>
      <c r="K70" s="20">
        <f t="shared" ca="1" si="14"/>
        <v>120.30444348927917</v>
      </c>
      <c r="L70" s="20">
        <f ca="1">BlackScholes(OptType,"Price",K70,Strike,time-G70,0,sigma,interestRate,dividend)</f>
        <v>5.6569003226737458</v>
      </c>
      <c r="M70" s="21">
        <f ca="1">L70*units*optMult*IF(Side="Short",-1,1)</f>
        <v>-56569.003226737463</v>
      </c>
      <c r="N70" s="6">
        <f ca="1">BlackScholes(OptType,"Delta",K70,Strike,time-G70,0,sigma,interestRate,dividend)*IF(Side="Short",-1,1)*units*optMult</f>
        <v>3636.0930884787181</v>
      </c>
      <c r="O70" s="6">
        <f ca="1">K70*EXP((interestRate-dividend)*(time-G70))</f>
        <v>120.30444348927917</v>
      </c>
      <c r="P70" s="19">
        <f>EXP((interestRate-dividend)*(time-G70))*futMult</f>
        <v>250</v>
      </c>
      <c r="Q70">
        <f t="shared" ca="1" si="11"/>
        <v>-14.544372353914872</v>
      </c>
      <c r="R70" s="32">
        <f t="shared" ca="1" si="15"/>
        <v>0.79610359135614139</v>
      </c>
      <c r="S70" s="17">
        <f t="shared" ca="1" si="16"/>
        <v>-14.544372353914872</v>
      </c>
      <c r="T70" s="24">
        <f t="shared" ca="1" si="17"/>
        <v>4213.1161009857897</v>
      </c>
      <c r="U70" s="24">
        <f t="shared" ca="1" si="18"/>
        <v>4110.3670617244952</v>
      </c>
      <c r="V70" s="24">
        <f ca="1">S69*(O70-O69)*futMult</f>
        <v>-4110.3670617244952</v>
      </c>
      <c r="W70" s="24">
        <f ca="1">T70+V70</f>
        <v>102.74903926129446</v>
      </c>
      <c r="X70" s="24">
        <f ca="1">X69+T70</f>
        <v>126639.04824759587</v>
      </c>
      <c r="Y70" s="24">
        <f t="shared" ca="1" si="19"/>
        <v>-36956.469406761003</v>
      </c>
      <c r="Z70" s="24"/>
    </row>
    <row r="71" spans="6:26" x14ac:dyDescent="0.25">
      <c r="F71" s="18">
        <f t="shared" si="12"/>
        <v>68</v>
      </c>
      <c r="G71">
        <f t="shared" si="10"/>
        <v>0.26984126984126983</v>
      </c>
      <c r="H71" s="8">
        <v>1.6588340217864331E-2</v>
      </c>
      <c r="I71" s="8">
        <f ca="1">(interestRate-dividend-0.5*sigma^2)*1/252+sigma*SQRT(1/252)*_xlfn.NORM.S.INV(RAND())</f>
        <v>2.9658965112904553E-3</v>
      </c>
      <c r="J71" s="27">
        <f t="shared" ca="1" si="13"/>
        <v>120.66178367357325</v>
      </c>
      <c r="K71" s="20">
        <f t="shared" ca="1" si="14"/>
        <v>120.66178367357325</v>
      </c>
      <c r="L71" s="20">
        <f ca="1">BlackScholes(OptType,"Price",K71,Strike,time-G71,0,sigma,interestRate,dividend)</f>
        <v>5.5072520066590638</v>
      </c>
      <c r="M71" s="21">
        <f ca="1">L71*units*optMult*IF(Side="Short",-1,1)</f>
        <v>-55072.520066590645</v>
      </c>
      <c r="N71" s="6">
        <f ca="1">BlackScholes(OptType,"Delta",K71,Strike,time-G71,0,sigma,interestRate,dividend)*IF(Side="Short",-1,1)*units*optMult</f>
        <v>3569.3457277857369</v>
      </c>
      <c r="O71" s="6">
        <f ca="1">K71*EXP((interestRate-dividend)*(time-G71))</f>
        <v>120.66178367357325</v>
      </c>
      <c r="P71" s="19">
        <f>EXP((interestRate-dividend)*(time-G71))*futMult</f>
        <v>250</v>
      </c>
      <c r="Q71">
        <f t="shared" ca="1" si="11"/>
        <v>-14.277382911142947</v>
      </c>
      <c r="R71" s="32">
        <f t="shared" ca="1" si="15"/>
        <v>0.2669894427719246</v>
      </c>
      <c r="S71" s="17">
        <f t="shared" ca="1" si="16"/>
        <v>-14.277382911142947</v>
      </c>
      <c r="T71" s="24">
        <f t="shared" ca="1" si="17"/>
        <v>1496.4831601468177</v>
      </c>
      <c r="U71" s="24">
        <f t="shared" ca="1" si="18"/>
        <v>1299.3221743474455</v>
      </c>
      <c r="V71" s="24">
        <f ca="1">S70*(O71-O70)*futMult</f>
        <v>-1299.3221743474455</v>
      </c>
      <c r="W71" s="24">
        <f ca="1">T71+V71</f>
        <v>197.16098579937216</v>
      </c>
      <c r="X71" s="24">
        <f ca="1">X70+T71</f>
        <v>128135.53140774269</v>
      </c>
      <c r="Y71" s="24">
        <f t="shared" ca="1" si="19"/>
        <v>-38255.791581108446</v>
      </c>
      <c r="Z71" s="24"/>
    </row>
    <row r="72" spans="6:26" x14ac:dyDescent="0.25">
      <c r="F72" s="18">
        <f t="shared" si="12"/>
        <v>69</v>
      </c>
      <c r="G72">
        <f t="shared" si="10"/>
        <v>0.27380952380952384</v>
      </c>
      <c r="H72" s="8">
        <v>1.1193416544692731E-2</v>
      </c>
      <c r="I72" s="8">
        <f ca="1">(interestRate-dividend-0.5*sigma^2)*1/252+sigma*SQRT(1/252)*_xlfn.NORM.S.INV(RAND())</f>
        <v>1.3652433756134248E-3</v>
      </c>
      <c r="J72" s="27">
        <f t="shared" ca="1" si="13"/>
        <v>120.82662887572899</v>
      </c>
      <c r="K72" s="20">
        <f t="shared" ca="1" si="14"/>
        <v>120.82662887572899</v>
      </c>
      <c r="L72" s="20">
        <f ca="1">BlackScholes(OptType,"Price",K72,Strike,time-G72,0,sigma,interestRate,dividend)</f>
        <v>5.4277640834447949</v>
      </c>
      <c r="M72" s="21">
        <f ca="1">L72*units*optMult*IF(Side="Short",-1,1)</f>
        <v>-54277.64083444795</v>
      </c>
      <c r="N72" s="6">
        <f ca="1">BlackScholes(OptType,"Delta",K72,Strike,time-G72,0,sigma,interestRate,dividend)*IF(Side="Short",-1,1)*units*optMult</f>
        <v>3537.5218767842116</v>
      </c>
      <c r="O72" s="6">
        <f ca="1">K72*EXP((interestRate-dividend)*(time-G72))</f>
        <v>120.82662887572899</v>
      </c>
      <c r="P72" s="19">
        <f>EXP((interestRate-dividend)*(time-G72))*futMult</f>
        <v>250</v>
      </c>
      <c r="Q72">
        <f t="shared" ca="1" si="11"/>
        <v>-14.150087507136847</v>
      </c>
      <c r="R72" s="32">
        <f t="shared" ca="1" si="15"/>
        <v>0.12729540400609984</v>
      </c>
      <c r="S72" s="17">
        <f t="shared" ca="1" si="16"/>
        <v>-14.150087507136847</v>
      </c>
      <c r="T72" s="24">
        <f t="shared" ca="1" si="17"/>
        <v>794.8792321426954</v>
      </c>
      <c r="U72" s="24">
        <f t="shared" ca="1" si="18"/>
        <v>588.38951806053763</v>
      </c>
      <c r="V72" s="24">
        <f ca="1">S71*(O72-O71)*futMult</f>
        <v>-588.38951806053751</v>
      </c>
      <c r="W72" s="24">
        <f ca="1">T72+V72</f>
        <v>206.48971408215789</v>
      </c>
      <c r="X72" s="24">
        <f ca="1">X71+T72</f>
        <v>128930.41063988538</v>
      </c>
      <c r="Y72" s="24">
        <f t="shared" ca="1" si="19"/>
        <v>-38844.181099168985</v>
      </c>
      <c r="Z72" s="24"/>
    </row>
    <row r="73" spans="6:26" x14ac:dyDescent="0.25">
      <c r="F73" s="18">
        <f t="shared" si="12"/>
        <v>70</v>
      </c>
      <c r="G73">
        <f t="shared" si="10"/>
        <v>0.27777777777777779</v>
      </c>
      <c r="H73" s="8">
        <v>-7.6182659002670275E-3</v>
      </c>
      <c r="I73" s="8">
        <f ca="1">(interestRate-dividend-0.5*sigma^2)*1/252+sigma*SQRT(1/252)*_xlfn.NORM.S.INV(RAND())</f>
        <v>-2.8031566786143984E-2</v>
      </c>
      <c r="J73" s="27">
        <f t="shared" ca="1" si="13"/>
        <v>117.48669958251386</v>
      </c>
      <c r="K73" s="20">
        <f t="shared" ca="1" si="14"/>
        <v>117.48669958251386</v>
      </c>
      <c r="L73" s="20">
        <f ca="1">BlackScholes(OptType,"Price",K73,Strike,time-G73,0,sigma,interestRate,dividend)</f>
        <v>6.6914276067457736</v>
      </c>
      <c r="M73" s="21">
        <f ca="1">L73*units*optMult*IF(Side="Short",-1,1)</f>
        <v>-66914.276067457744</v>
      </c>
      <c r="N73" s="6">
        <f ca="1">BlackScholes(OptType,"Delta",K73,Strike,time-G73,0,sigma,interestRate,dividend)*IF(Side="Short",-1,1)*units*optMult</f>
        <v>4165.0252923047974</v>
      </c>
      <c r="O73" s="6">
        <f ca="1">K73*EXP((interestRate-dividend)*(time-G73))</f>
        <v>117.48669958251386</v>
      </c>
      <c r="P73" s="19">
        <f>EXP((interestRate-dividend)*(time-G73))*futMult</f>
        <v>250</v>
      </c>
      <c r="Q73">
        <f t="shared" ca="1" si="11"/>
        <v>-16.660101169219189</v>
      </c>
      <c r="R73" s="32">
        <f t="shared" ca="1" si="15"/>
        <v>-2.5100136620823417</v>
      </c>
      <c r="S73" s="17">
        <f t="shared" ca="1" si="16"/>
        <v>-16.660101169219189</v>
      </c>
      <c r="T73" s="24">
        <f t="shared" ca="1" si="17"/>
        <v>-12636.635233009794</v>
      </c>
      <c r="U73" s="24">
        <f t="shared" ca="1" si="18"/>
        <v>-11815.072941660921</v>
      </c>
      <c r="V73" s="24">
        <f ca="1">S72*(O73-O72)*futMult</f>
        <v>11815.072941660923</v>
      </c>
      <c r="W73" s="24">
        <f ca="1">T73+V73</f>
        <v>-821.56229134887144</v>
      </c>
      <c r="X73" s="24">
        <f ca="1">X72+T73</f>
        <v>116293.77540687559</v>
      </c>
      <c r="Y73" s="24">
        <f t="shared" ca="1" si="19"/>
        <v>-27029.108157508061</v>
      </c>
      <c r="Z73" s="24"/>
    </row>
    <row r="74" spans="6:26" x14ac:dyDescent="0.25">
      <c r="F74" s="18">
        <f t="shared" si="12"/>
        <v>71</v>
      </c>
      <c r="G74">
        <f t="shared" si="10"/>
        <v>0.28174603174603174</v>
      </c>
      <c r="H74" s="8">
        <v>-1.2589207092949709E-2</v>
      </c>
      <c r="I74" s="8">
        <f ca="1">(interestRate-dividend-0.5*sigma^2)*1/252+sigma*SQRT(1/252)*_xlfn.NORM.S.INV(RAND())</f>
        <v>-1.2185418284731734E-3</v>
      </c>
      <c r="J74" s="27">
        <f t="shared" ca="1" si="13"/>
        <v>117.34362431408661</v>
      </c>
      <c r="K74" s="20">
        <f t="shared" ca="1" si="14"/>
        <v>117.34362431408661</v>
      </c>
      <c r="L74" s="20">
        <f ca="1">BlackScholes(OptType,"Price",K74,Strike,time-G74,0,sigma,interestRate,dividend)</f>
        <v>6.7297792807076036</v>
      </c>
      <c r="M74" s="21">
        <f ca="1">L74*units*optMult*IF(Side="Short",-1,1)</f>
        <v>-67297.792807076024</v>
      </c>
      <c r="N74" s="6">
        <f ca="1">BlackScholes(OptType,"Delta",K74,Strike,time-G74,0,sigma,interestRate,dividend)*IF(Side="Short",-1,1)*units*optMult</f>
        <v>4192.6527897901269</v>
      </c>
      <c r="O74" s="6">
        <f ca="1">K74*EXP((interestRate-dividend)*(time-G74))</f>
        <v>117.34362431408661</v>
      </c>
      <c r="P74" s="19">
        <f>EXP((interestRate-dividend)*(time-G74))*futMult</f>
        <v>250</v>
      </c>
      <c r="Q74">
        <f t="shared" ca="1" si="11"/>
        <v>-16.770611159160509</v>
      </c>
      <c r="R74" s="32">
        <f t="shared" ca="1" si="15"/>
        <v>-0.11050998994132044</v>
      </c>
      <c r="S74" s="17">
        <f t="shared" ca="1" si="16"/>
        <v>-16.770611159160509</v>
      </c>
      <c r="T74" s="24">
        <f t="shared" ca="1" si="17"/>
        <v>-383.51673961828055</v>
      </c>
      <c r="U74" s="24">
        <f t="shared" ca="1" si="18"/>
        <v>-595.91211170280837</v>
      </c>
      <c r="V74" s="24">
        <f ca="1">S73*(O74-O73)*futMult</f>
        <v>595.91211170280837</v>
      </c>
      <c r="W74" s="24">
        <f ca="1">T74+V74</f>
        <v>212.39537208452782</v>
      </c>
      <c r="X74" s="24">
        <f ca="1">X73+T74</f>
        <v>115910.25866725731</v>
      </c>
      <c r="Y74" s="24">
        <f t="shared" ca="1" si="19"/>
        <v>-26433.196045805253</v>
      </c>
      <c r="Z74" s="24"/>
    </row>
    <row r="75" spans="6:26" x14ac:dyDescent="0.25">
      <c r="F75" s="18">
        <f t="shared" si="12"/>
        <v>72</v>
      </c>
      <c r="G75">
        <f t="shared" si="10"/>
        <v>0.2857142857142857</v>
      </c>
      <c r="H75" s="8">
        <v>1.0351323117817939E-2</v>
      </c>
      <c r="I75" s="8">
        <f ca="1">(interestRate-dividend-0.5*sigma^2)*1/252+sigma*SQRT(1/252)*_xlfn.NORM.S.INV(RAND())</f>
        <v>-5.6178918372522301E-4</v>
      </c>
      <c r="J75" s="27">
        <f t="shared" ca="1" si="13"/>
        <v>117.27772044894044</v>
      </c>
      <c r="K75" s="20">
        <f t="shared" ca="1" si="14"/>
        <v>117.27772044894044</v>
      </c>
      <c r="L75" s="20">
        <f ca="1">BlackScholes(OptType,"Price",K75,Strike,time-G75,0,sigma,interestRate,dividend)</f>
        <v>6.7359522183979355</v>
      </c>
      <c r="M75" s="21">
        <f ca="1">L75*units*optMult*IF(Side="Short",-1,1)</f>
        <v>-67359.522183979352</v>
      </c>
      <c r="N75" s="6">
        <f ca="1">BlackScholes(OptType,"Delta",K75,Strike,time-G75,0,sigma,interestRate,dividend)*IF(Side="Short",-1,1)*units*optMult</f>
        <v>4205.269640675986</v>
      </c>
      <c r="O75" s="6">
        <f ca="1">K75*EXP((interestRate-dividend)*(time-G75))</f>
        <v>117.27772044894044</v>
      </c>
      <c r="P75" s="19">
        <f>EXP((interestRate-dividend)*(time-G75))*futMult</f>
        <v>250</v>
      </c>
      <c r="Q75">
        <f t="shared" ca="1" si="11"/>
        <v>-16.821078562703946</v>
      </c>
      <c r="R75" s="32">
        <f t="shared" ca="1" si="15"/>
        <v>-5.0467403543436262E-2</v>
      </c>
      <c r="S75" s="17">
        <f t="shared" ca="1" si="16"/>
        <v>-16.821078562703946</v>
      </c>
      <c r="T75" s="24">
        <f t="shared" ca="1" si="17"/>
        <v>-61.729376903327648</v>
      </c>
      <c r="U75" s="24">
        <f t="shared" ca="1" si="18"/>
        <v>-276.31202406303578</v>
      </c>
      <c r="V75" s="24">
        <f ca="1">S74*(O75-O74)*futMult</f>
        <v>276.31202406303578</v>
      </c>
      <c r="W75" s="24">
        <f ca="1">T75+V75</f>
        <v>214.58264715970813</v>
      </c>
      <c r="X75" s="24">
        <f ca="1">X74+T75</f>
        <v>115848.52929035398</v>
      </c>
      <c r="Y75" s="24">
        <f t="shared" ca="1" si="19"/>
        <v>-26156.884021742218</v>
      </c>
      <c r="Z75" s="24"/>
    </row>
    <row r="76" spans="6:26" x14ac:dyDescent="0.25">
      <c r="F76" s="18">
        <f t="shared" si="12"/>
        <v>73</v>
      </c>
      <c r="G76">
        <f t="shared" si="10"/>
        <v>0.28968253968253971</v>
      </c>
      <c r="H76" s="8">
        <v>-4.0961065541576525E-3</v>
      </c>
      <c r="I76" s="8">
        <f ca="1">(interestRate-dividend-0.5*sigma^2)*1/252+sigma*SQRT(1/252)*_xlfn.NORM.S.INV(RAND())</f>
        <v>4.8228885494119448E-3</v>
      </c>
      <c r="J76" s="27">
        <f t="shared" ca="1" si="13"/>
        <v>117.84470397415586</v>
      </c>
      <c r="K76" s="20">
        <f t="shared" ca="1" si="14"/>
        <v>117.84470397415586</v>
      </c>
      <c r="L76" s="20">
        <f ca="1">BlackScholes(OptType,"Price",K76,Strike,time-G76,0,sigma,interestRate,dividend)</f>
        <v>6.4791473506005142</v>
      </c>
      <c r="M76" s="21">
        <f ca="1">L76*units*optMult*IF(Side="Short",-1,1)</f>
        <v>-64791.473506005139</v>
      </c>
      <c r="N76" s="6">
        <f ca="1">BlackScholes(OptType,"Delta",K76,Strike,time-G76,0,sigma,interestRate,dividend)*IF(Side="Short",-1,1)*units*optMult</f>
        <v>4093.3874118432777</v>
      </c>
      <c r="O76" s="6">
        <f ca="1">K76*EXP((interestRate-dividend)*(time-G76))</f>
        <v>117.84470397415586</v>
      </c>
      <c r="P76" s="19">
        <f>EXP((interestRate-dividend)*(time-G76))*futMult</f>
        <v>250</v>
      </c>
      <c r="Q76">
        <f t="shared" ca="1" si="11"/>
        <v>-16.37354964737311</v>
      </c>
      <c r="R76" s="32">
        <f t="shared" ca="1" si="15"/>
        <v>0.44752891533083528</v>
      </c>
      <c r="S76" s="17">
        <f t="shared" ca="1" si="16"/>
        <v>-16.37354964737311</v>
      </c>
      <c r="T76" s="24">
        <f t="shared" ca="1" si="17"/>
        <v>2568.0486779742132</v>
      </c>
      <c r="U76" s="24">
        <f t="shared" ca="1" si="18"/>
        <v>2384.3186053518534</v>
      </c>
      <c r="V76" s="24">
        <f ca="1">S75*(O76-O75)*futMult</f>
        <v>-2384.3186053518534</v>
      </c>
      <c r="W76" s="24">
        <f ca="1">T76+V76</f>
        <v>183.73007262235978</v>
      </c>
      <c r="X76" s="24">
        <f ca="1">X75+T76</f>
        <v>118416.5779683282</v>
      </c>
      <c r="Y76" s="24">
        <f t="shared" ca="1" si="19"/>
        <v>-28541.202627094073</v>
      </c>
      <c r="Z76" s="24"/>
    </row>
    <row r="77" spans="6:26" x14ac:dyDescent="0.25">
      <c r="F77" s="18">
        <f t="shared" si="12"/>
        <v>74</v>
      </c>
      <c r="G77">
        <f t="shared" si="10"/>
        <v>0.29365079365079366</v>
      </c>
      <c r="H77" s="8">
        <v>-2.6474133832469295E-2</v>
      </c>
      <c r="I77" s="8">
        <f ca="1">(interestRate-dividend-0.5*sigma^2)*1/252+sigma*SQRT(1/252)*_xlfn.NORM.S.INV(RAND())</f>
        <v>-9.1738006394021278E-3</v>
      </c>
      <c r="J77" s="27">
        <f t="shared" ca="1" si="13"/>
        <v>116.76856384817043</v>
      </c>
      <c r="K77" s="20">
        <f t="shared" ca="1" si="14"/>
        <v>116.76856384817043</v>
      </c>
      <c r="L77" s="20">
        <f ca="1">BlackScholes(OptType,"Price",K77,Strike,time-G77,0,sigma,interestRate,dividend)</f>
        <v>6.9094288621952655</v>
      </c>
      <c r="M77" s="21">
        <f ca="1">L77*units*optMult*IF(Side="Short",-1,1)</f>
        <v>-69094.288621952655</v>
      </c>
      <c r="N77" s="6">
        <f ca="1">BlackScholes(OptType,"Delta",K77,Strike,time-G77,0,sigma,interestRate,dividend)*IF(Side="Short",-1,1)*units*optMult</f>
        <v>4306.0259727586035</v>
      </c>
      <c r="O77" s="6">
        <f ca="1">K77*EXP((interestRate-dividend)*(time-G77))</f>
        <v>116.76856384817043</v>
      </c>
      <c r="P77" s="19">
        <f>EXP((interestRate-dividend)*(time-G77))*futMult</f>
        <v>250</v>
      </c>
      <c r="Q77">
        <f t="shared" ca="1" si="11"/>
        <v>-17.224103891034414</v>
      </c>
      <c r="R77" s="32">
        <f t="shared" ca="1" si="15"/>
        <v>-0.85055424366130339</v>
      </c>
      <c r="S77" s="17">
        <f t="shared" ca="1" si="16"/>
        <v>-17.224103891034414</v>
      </c>
      <c r="T77" s="24">
        <f t="shared" ca="1" si="17"/>
        <v>-4302.8151159475165</v>
      </c>
      <c r="U77" s="24">
        <f t="shared" ca="1" si="18"/>
        <v>-4405.0584450882079</v>
      </c>
      <c r="V77" s="24">
        <f ca="1">S76*(O77-O76)*futMult</f>
        <v>4405.0584450882079</v>
      </c>
      <c r="W77" s="24">
        <f ca="1">T77+V77</f>
        <v>102.24332914069146</v>
      </c>
      <c r="X77" s="24">
        <f ca="1">X76+T77</f>
        <v>114113.76285238069</v>
      </c>
      <c r="Y77" s="24">
        <f t="shared" ca="1" si="19"/>
        <v>-24136.144182005864</v>
      </c>
      <c r="Z77" s="24"/>
    </row>
    <row r="78" spans="6:26" x14ac:dyDescent="0.25">
      <c r="F78" s="18">
        <f t="shared" si="12"/>
        <v>75</v>
      </c>
      <c r="G78">
        <f t="shared" si="10"/>
        <v>0.29761904761904762</v>
      </c>
      <c r="H78" s="8">
        <v>6.946155058939152E-3</v>
      </c>
      <c r="I78" s="8">
        <f ca="1">(interestRate-dividend-0.5*sigma^2)*1/252+sigma*SQRT(1/252)*_xlfn.NORM.S.INV(RAND())</f>
        <v>-3.7989689148549828E-3</v>
      </c>
      <c r="J78" s="27">
        <f t="shared" ca="1" si="13"/>
        <v>116.32580524945259</v>
      </c>
      <c r="K78" s="20">
        <f t="shared" ca="1" si="14"/>
        <v>116.32580524945259</v>
      </c>
      <c r="L78" s="20">
        <f ca="1">BlackScholes(OptType,"Price",K78,Strike,time-G78,0,sigma,interestRate,dividend)</f>
        <v>7.0803590940174486</v>
      </c>
      <c r="M78" s="21">
        <f ca="1">L78*units*optMult*IF(Side="Short",-1,1)</f>
        <v>-70803.590940174487</v>
      </c>
      <c r="N78" s="6">
        <f ca="1">BlackScholes(OptType,"Delta",K78,Strike,time-G78,0,sigma,interestRate,dividend)*IF(Side="Short",-1,1)*units*optMult</f>
        <v>4395.1647076731551</v>
      </c>
      <c r="O78" s="6">
        <f ca="1">K78*EXP((interestRate-dividend)*(time-G78))</f>
        <v>116.32580524945259</v>
      </c>
      <c r="P78" s="19">
        <f>EXP((interestRate-dividend)*(time-G78))*futMult</f>
        <v>250</v>
      </c>
      <c r="Q78">
        <f t="shared" ca="1" si="11"/>
        <v>-17.58065883069262</v>
      </c>
      <c r="R78" s="32">
        <f t="shared" ca="1" si="15"/>
        <v>-0.35655493965820639</v>
      </c>
      <c r="S78" s="17">
        <f t="shared" ca="1" si="16"/>
        <v>-17.58065883069262</v>
      </c>
      <c r="T78" s="24">
        <f t="shared" ca="1" si="17"/>
        <v>-1709.3023182218312</v>
      </c>
      <c r="U78" s="24">
        <f t="shared" ca="1" si="18"/>
        <v>-1906.530025741243</v>
      </c>
      <c r="V78" s="24">
        <f ca="1">S77*(O78-O77)*futMult</f>
        <v>1906.530025741243</v>
      </c>
      <c r="W78" s="24">
        <f ca="1">T78+V78</f>
        <v>197.22770751941175</v>
      </c>
      <c r="X78" s="24">
        <f ca="1">X77+T78</f>
        <v>112404.46053415886</v>
      </c>
      <c r="Y78" s="24">
        <f t="shared" ca="1" si="19"/>
        <v>-22229.614156264623</v>
      </c>
      <c r="Z78" s="24"/>
    </row>
    <row r="79" spans="6:26" x14ac:dyDescent="0.25">
      <c r="F79" s="18">
        <f t="shared" si="12"/>
        <v>76</v>
      </c>
      <c r="G79">
        <f t="shared" si="10"/>
        <v>0.30158730158730157</v>
      </c>
      <c r="H79" s="8">
        <v>-8.0003659176321115E-3</v>
      </c>
      <c r="I79" s="8">
        <f ca="1">(interestRate-dividend-0.5*sigma^2)*1/252+sigma*SQRT(1/252)*_xlfn.NORM.S.INV(RAND())</f>
        <v>-2.7355261368957891E-2</v>
      </c>
      <c r="J79" s="27">
        <f t="shared" ca="1" si="13"/>
        <v>113.18681217354869</v>
      </c>
      <c r="K79" s="20">
        <f t="shared" ca="1" si="14"/>
        <v>113.18681217354869</v>
      </c>
      <c r="L79" s="20">
        <f ca="1">BlackScholes(OptType,"Price",K79,Strike,time-G79,0,sigma,interestRate,dividend)</f>
        <v>8.5397490887655287</v>
      </c>
      <c r="M79" s="21">
        <f ca="1">L79*units*optMult*IF(Side="Short",-1,1)</f>
        <v>-85397.49088765528</v>
      </c>
      <c r="N79" s="6">
        <f ca="1">BlackScholes(OptType,"Delta",K79,Strike,time-G79,0,sigma,interestRate,dividend)*IF(Side="Short",-1,1)*units*optMult</f>
        <v>5045.9270081771501</v>
      </c>
      <c r="O79" s="6">
        <f ca="1">K79*EXP((interestRate-dividend)*(time-G79))</f>
        <v>113.18681217354869</v>
      </c>
      <c r="P79" s="19">
        <f>EXP((interestRate-dividend)*(time-G79))*futMult</f>
        <v>250</v>
      </c>
      <c r="Q79">
        <f t="shared" ca="1" si="11"/>
        <v>-20.183708032708601</v>
      </c>
      <c r="R79" s="32">
        <f t="shared" ca="1" si="15"/>
        <v>-2.6030492020159812</v>
      </c>
      <c r="S79" s="17">
        <f t="shared" ca="1" si="16"/>
        <v>-20.183708032708601</v>
      </c>
      <c r="T79" s="24">
        <f t="shared" ca="1" si="17"/>
        <v>-14593.899947480793</v>
      </c>
      <c r="U79" s="24">
        <f t="shared" ca="1" si="18"/>
        <v>-13796.391584843212</v>
      </c>
      <c r="V79" s="24">
        <f ca="1">S78*(O79-O78)*futMult</f>
        <v>13796.391584843212</v>
      </c>
      <c r="W79" s="24">
        <f ca="1">T79+V79</f>
        <v>-797.50836263758174</v>
      </c>
      <c r="X79" s="24">
        <f ca="1">X78+T79</f>
        <v>97810.560586678068</v>
      </c>
      <c r="Y79" s="24">
        <f t="shared" ca="1" si="19"/>
        <v>-8433.222571421411</v>
      </c>
      <c r="Z79" s="24"/>
    </row>
    <row r="80" spans="6:26" x14ac:dyDescent="0.25">
      <c r="F80" s="18">
        <f t="shared" si="12"/>
        <v>77</v>
      </c>
      <c r="G80">
        <f t="shared" si="10"/>
        <v>0.30555555555555558</v>
      </c>
      <c r="H80" s="8">
        <v>2.4999298847789866E-2</v>
      </c>
      <c r="I80" s="8">
        <f ca="1">(interestRate-dividend-0.5*sigma^2)*1/252+sigma*SQRT(1/252)*_xlfn.NORM.S.INV(RAND())</f>
        <v>1.074177777912887E-3</v>
      </c>
      <c r="J80" s="27">
        <f t="shared" ca="1" si="13"/>
        <v>113.30846025607475</v>
      </c>
      <c r="K80" s="20">
        <f t="shared" ca="1" si="14"/>
        <v>113.30846025607475</v>
      </c>
      <c r="L80" s="20">
        <f ca="1">BlackScholes(OptType,"Price",K80,Strike,time-G80,0,sigma,interestRate,dividend)</f>
        <v>8.4570277972752184</v>
      </c>
      <c r="M80" s="21">
        <f ca="1">L80*units*optMult*IF(Side="Short",-1,1)</f>
        <v>-84570.277972752185</v>
      </c>
      <c r="N80" s="6">
        <f ca="1">BlackScholes(OptType,"Delta",K80,Strike,time-G80,0,sigma,interestRate,dividend)*IF(Side="Short",-1,1)*units*optMult</f>
        <v>5022.2465725841257</v>
      </c>
      <c r="O80" s="6">
        <f ca="1">K80*EXP((interestRate-dividend)*(time-G80))</f>
        <v>113.30846025607475</v>
      </c>
      <c r="P80" s="19">
        <f>EXP((interestRate-dividend)*(time-G80))*futMult</f>
        <v>250</v>
      </c>
      <c r="Q80">
        <f t="shared" ca="1" si="11"/>
        <v>-20.088986290336504</v>
      </c>
      <c r="R80" s="32">
        <f t="shared" ca="1" si="15"/>
        <v>9.472174237209785E-2</v>
      </c>
      <c r="S80" s="17">
        <f t="shared" ca="1" si="16"/>
        <v>-20.088986290336504</v>
      </c>
      <c r="T80" s="24">
        <f t="shared" ca="1" si="17"/>
        <v>827.21291490309522</v>
      </c>
      <c r="U80" s="24">
        <f t="shared" ca="1" si="18"/>
        <v>613.82734511123238</v>
      </c>
      <c r="V80" s="24">
        <f ca="1">S79*(O80-O79)*futMult</f>
        <v>-613.82734511123238</v>
      </c>
      <c r="W80" s="24">
        <f ca="1">T80+V80</f>
        <v>213.38556979186285</v>
      </c>
      <c r="X80" s="24">
        <f ca="1">X79+T80</f>
        <v>98637.773501581163</v>
      </c>
      <c r="Y80" s="24">
        <f t="shared" ca="1" si="19"/>
        <v>-9047.0499165326437</v>
      </c>
      <c r="Z80" s="24"/>
    </row>
    <row r="81" spans="6:26" x14ac:dyDescent="0.25">
      <c r="F81" s="18">
        <f t="shared" si="12"/>
        <v>78</v>
      </c>
      <c r="G81">
        <f t="shared" si="10"/>
        <v>0.30952380952380953</v>
      </c>
      <c r="H81" s="8">
        <v>-1.5470802983049529E-2</v>
      </c>
      <c r="I81" s="8">
        <f ca="1">(interestRate-dividend-0.5*sigma^2)*1/252+sigma*SQRT(1/252)*_xlfn.NORM.S.INV(RAND())</f>
        <v>-4.6399705980102266E-3</v>
      </c>
      <c r="J81" s="27">
        <f t="shared" ca="1" si="13"/>
        <v>112.78393017512208</v>
      </c>
      <c r="K81" s="20">
        <f t="shared" ca="1" si="14"/>
        <v>112.78393017512208</v>
      </c>
      <c r="L81" s="20">
        <f ca="1">BlackScholes(OptType,"Price",K81,Strike,time-G81,0,sigma,interestRate,dividend)</f>
        <v>8.7019255832369655</v>
      </c>
      <c r="M81" s="21">
        <f ca="1">L81*units*optMult*IF(Side="Short",-1,1)</f>
        <v>-87019.255832369658</v>
      </c>
      <c r="N81" s="6">
        <f ca="1">BlackScholes(OptType,"Delta",K81,Strike,time-G81,0,sigma,interestRate,dividend)*IF(Side="Short",-1,1)*units*optMult</f>
        <v>5135.5731164342178</v>
      </c>
      <c r="O81" s="6">
        <f ca="1">K81*EXP((interestRate-dividend)*(time-G81))</f>
        <v>112.78393017512208</v>
      </c>
      <c r="P81" s="19">
        <f>EXP((interestRate-dividend)*(time-G81))*futMult</f>
        <v>250</v>
      </c>
      <c r="Q81">
        <f t="shared" ca="1" si="11"/>
        <v>-20.542292465736871</v>
      </c>
      <c r="R81" s="32">
        <f t="shared" ca="1" si="15"/>
        <v>-0.45330617540036755</v>
      </c>
      <c r="S81" s="17">
        <f t="shared" ca="1" si="16"/>
        <v>-20.542292465736871</v>
      </c>
      <c r="T81" s="24">
        <f t="shared" ca="1" si="17"/>
        <v>-2448.9778596174729</v>
      </c>
      <c r="U81" s="24">
        <f t="shared" ca="1" si="18"/>
        <v>-2634.3194012818335</v>
      </c>
      <c r="V81" s="24">
        <f ca="1">S80*(O81-O80)*futMult</f>
        <v>2634.3194012818335</v>
      </c>
      <c r="W81" s="24">
        <f ca="1">T81+V81</f>
        <v>185.34154166436065</v>
      </c>
      <c r="X81" s="24">
        <f ca="1">X80+T81</f>
        <v>96188.79564196369</v>
      </c>
      <c r="Y81" s="24">
        <f t="shared" ca="1" si="19"/>
        <v>-6412.7305152508106</v>
      </c>
      <c r="Z81" s="24"/>
    </row>
    <row r="82" spans="6:26" x14ac:dyDescent="0.25">
      <c r="F82" s="18">
        <f t="shared" si="12"/>
        <v>79</v>
      </c>
      <c r="G82">
        <f t="shared" si="10"/>
        <v>0.31349206349206349</v>
      </c>
      <c r="H82" s="8">
        <v>-1.4476438108017744E-3</v>
      </c>
      <c r="I82" s="8">
        <f ca="1">(interestRate-dividend-0.5*sigma^2)*1/252+sigma*SQRT(1/252)*_xlfn.NORM.S.INV(RAND())</f>
        <v>4.2873947706960095E-3</v>
      </c>
      <c r="J82" s="27">
        <f t="shared" ca="1" si="13"/>
        <v>113.26851747380179</v>
      </c>
      <c r="K82" s="20">
        <f t="shared" ca="1" si="14"/>
        <v>113.26851747380179</v>
      </c>
      <c r="L82" s="20">
        <f ca="1">BlackScholes(OptType,"Price",K82,Strike,time-G82,0,sigma,interestRate,dividend)</f>
        <v>8.4339468736784546</v>
      </c>
      <c r="M82" s="21">
        <f ca="1">L82*units*optMult*IF(Side="Short",-1,1)</f>
        <v>-84339.468736784547</v>
      </c>
      <c r="N82" s="6">
        <f ca="1">BlackScholes(OptType,"Delta",K82,Strike,time-G82,0,sigma,interestRate,dividend)*IF(Side="Short",-1,1)*units*optMult</f>
        <v>5034.6839113131537</v>
      </c>
      <c r="O82" s="6">
        <f ca="1">K82*EXP((interestRate-dividend)*(time-G82))</f>
        <v>113.26851747380179</v>
      </c>
      <c r="P82" s="19">
        <f>EXP((interestRate-dividend)*(time-G82))*futMult</f>
        <v>250</v>
      </c>
      <c r="Q82">
        <f t="shared" ca="1" si="11"/>
        <v>-20.138735645252616</v>
      </c>
      <c r="R82" s="32">
        <f t="shared" ca="1" si="15"/>
        <v>0.40355682048425479</v>
      </c>
      <c r="S82" s="17">
        <f t="shared" ca="1" si="16"/>
        <v>-20.138735645252616</v>
      </c>
      <c r="T82" s="24">
        <f t="shared" ca="1" si="17"/>
        <v>2679.7870955851104</v>
      </c>
      <c r="U82" s="24">
        <f t="shared" ca="1" si="18"/>
        <v>2488.6335036650144</v>
      </c>
      <c r="V82" s="24">
        <f ca="1">S81*(O82-O81)*futMult</f>
        <v>-2488.6335036650144</v>
      </c>
      <c r="W82" s="24">
        <f ca="1">T82+V82</f>
        <v>191.15359192009601</v>
      </c>
      <c r="X82" s="24">
        <f ca="1">X81+T82</f>
        <v>98868.582737548801</v>
      </c>
      <c r="Y82" s="24">
        <f t="shared" ca="1" si="19"/>
        <v>-8901.364018915825</v>
      </c>
      <c r="Z82" s="24"/>
    </row>
    <row r="83" spans="6:26" x14ac:dyDescent="0.25">
      <c r="F83" s="18">
        <f t="shared" si="12"/>
        <v>80</v>
      </c>
      <c r="G83">
        <f t="shared" si="10"/>
        <v>0.31746031746031744</v>
      </c>
      <c r="H83" s="8">
        <v>8.5748011072527934E-3</v>
      </c>
      <c r="I83" s="8">
        <f ca="1">(interestRate-dividend-0.5*sigma^2)*1/252+sigma*SQRT(1/252)*_xlfn.NORM.S.INV(RAND())</f>
        <v>1.0460259894822339E-2</v>
      </c>
      <c r="J83" s="27">
        <f t="shared" ca="1" si="13"/>
        <v>114.45955402043562</v>
      </c>
      <c r="K83" s="20">
        <f t="shared" ca="1" si="14"/>
        <v>114.45955402043562</v>
      </c>
      <c r="L83" s="20">
        <f ca="1">BlackScholes(OptType,"Price",K83,Strike,time-G83,0,sigma,interestRate,dividend)</f>
        <v>7.8274486579212788</v>
      </c>
      <c r="M83" s="21">
        <f ca="1">L83*units*optMult*IF(Side="Short",-1,1)</f>
        <v>-78274.486579212782</v>
      </c>
      <c r="N83" s="6">
        <f ca="1">BlackScholes(OptType,"Delta",K83,Strike,time-G83,0,sigma,interestRate,dividend)*IF(Side="Short",-1,1)*units*optMult</f>
        <v>4784.2500004428712</v>
      </c>
      <c r="O83" s="6">
        <f ca="1">K83*EXP((interestRate-dividend)*(time-G83))</f>
        <v>114.45955402043562</v>
      </c>
      <c r="P83" s="19">
        <f>EXP((interestRate-dividend)*(time-G83))*futMult</f>
        <v>250</v>
      </c>
      <c r="Q83">
        <f t="shared" ca="1" si="11"/>
        <v>-19.137000001771483</v>
      </c>
      <c r="R83" s="32">
        <f t="shared" ca="1" si="15"/>
        <v>1.0017356434811333</v>
      </c>
      <c r="S83" s="17">
        <f t="shared" ca="1" si="16"/>
        <v>-19.137000001771483</v>
      </c>
      <c r="T83" s="24">
        <f t="shared" ca="1" si="17"/>
        <v>6064.9821575717651</v>
      </c>
      <c r="U83" s="24">
        <f t="shared" ca="1" si="18"/>
        <v>5996.4925391232964</v>
      </c>
      <c r="V83" s="24">
        <f ca="1">S82*(O83-O82)*futMult</f>
        <v>-5996.4925391232973</v>
      </c>
      <c r="W83" s="24">
        <f ca="1">T83+V83</f>
        <v>68.489618448467809</v>
      </c>
      <c r="X83" s="24">
        <f ca="1">X82+T83</f>
        <v>104933.56489512057</v>
      </c>
      <c r="Y83" s="24">
        <f t="shared" ca="1" si="19"/>
        <v>-14897.856558039122</v>
      </c>
      <c r="Z83" s="24"/>
    </row>
    <row r="84" spans="6:26" x14ac:dyDescent="0.25">
      <c r="F84" s="18">
        <f t="shared" si="12"/>
        <v>81</v>
      </c>
      <c r="G84">
        <f t="shared" si="10"/>
        <v>0.32142857142857145</v>
      </c>
      <c r="H84" s="8">
        <v>1.6068735341474974E-2</v>
      </c>
      <c r="I84" s="8">
        <f ca="1">(interestRate-dividend-0.5*sigma^2)*1/252+sigma*SQRT(1/252)*_xlfn.NORM.S.INV(RAND())</f>
        <v>2.1870434819633747E-2</v>
      </c>
      <c r="J84" s="27">
        <f t="shared" ca="1" si="13"/>
        <v>116.99040880522135</v>
      </c>
      <c r="K84" s="20">
        <f t="shared" ca="1" si="14"/>
        <v>116.99040880522135</v>
      </c>
      <c r="L84" s="20">
        <f ca="1">BlackScholes(OptType,"Price",K84,Strike,time-G84,0,sigma,interestRate,dividend)</f>
        <v>6.6612696975705923</v>
      </c>
      <c r="M84" s="21">
        <f ca="1">L84*units*optMult*IF(Side="Short",-1,1)</f>
        <v>-66612.696975705927</v>
      </c>
      <c r="N84" s="6">
        <f ca="1">BlackScholes(OptType,"Delta",K84,Strike,time-G84,0,sigma,interestRate,dividend)*IF(Side="Short",-1,1)*units*optMult</f>
        <v>4260.1393185591005</v>
      </c>
      <c r="O84" s="6">
        <f ca="1">K84*EXP((interestRate-dividend)*(time-G84))</f>
        <v>116.99040880522135</v>
      </c>
      <c r="P84" s="19">
        <f>EXP((interestRate-dividend)*(time-G84))*futMult</f>
        <v>250</v>
      </c>
      <c r="Q84">
        <f t="shared" ca="1" si="11"/>
        <v>-17.040557274236402</v>
      </c>
      <c r="R84" s="32">
        <f t="shared" ca="1" si="15"/>
        <v>2.0964427275350808</v>
      </c>
      <c r="S84" s="17">
        <f t="shared" ca="1" si="16"/>
        <v>-17.040557274236402</v>
      </c>
      <c r="T84" s="24">
        <f t="shared" ca="1" si="17"/>
        <v>11661.789603506855</v>
      </c>
      <c r="U84" s="24">
        <f t="shared" ca="1" si="18"/>
        <v>12108.242005231978</v>
      </c>
      <c r="V84" s="24">
        <f ca="1">S83*(O84-O83)*futMult</f>
        <v>-12108.242005231976</v>
      </c>
      <c r="W84" s="24">
        <f ca="1">T84+V84</f>
        <v>-446.45240172512058</v>
      </c>
      <c r="X84" s="24">
        <f ca="1">X83+T84</f>
        <v>116595.35449862742</v>
      </c>
      <c r="Y84" s="24">
        <f t="shared" ca="1" si="19"/>
        <v>-27006.098563271098</v>
      </c>
      <c r="Z84" s="24"/>
    </row>
    <row r="85" spans="6:26" x14ac:dyDescent="0.25">
      <c r="F85" s="18">
        <f t="shared" si="12"/>
        <v>82</v>
      </c>
      <c r="G85">
        <f t="shared" si="10"/>
        <v>0.32539682539682541</v>
      </c>
      <c r="H85" s="8">
        <v>-1.0577932543864179E-2</v>
      </c>
      <c r="I85" s="8">
        <f ca="1">(interestRate-dividend-0.5*sigma^2)*1/252+sigma*SQRT(1/252)*_xlfn.NORM.S.INV(RAND())</f>
        <v>6.6131789213840202E-3</v>
      </c>
      <c r="J85" s="27">
        <f t="shared" ca="1" si="13"/>
        <v>117.76665119662441</v>
      </c>
      <c r="K85" s="20">
        <f t="shared" ca="1" si="14"/>
        <v>117.76665119662441</v>
      </c>
      <c r="L85" s="20">
        <f ca="1">BlackScholes(OptType,"Price",K85,Strike,time-G85,0,sigma,interestRate,dividend)</f>
        <v>6.3145879349852354</v>
      </c>
      <c r="M85" s="21">
        <f ca="1">L85*units*optMult*IF(Side="Short",-1,1)</f>
        <v>-63145.879349852352</v>
      </c>
      <c r="N85" s="6">
        <f ca="1">BlackScholes(OptType,"Delta",K85,Strike,time-G85,0,sigma,interestRate,dividend)*IF(Side="Short",-1,1)*units*optMult</f>
        <v>4102.6837049169062</v>
      </c>
      <c r="O85" s="6">
        <f ca="1">K85*EXP((interestRate-dividend)*(time-G85))</f>
        <v>117.76665119662441</v>
      </c>
      <c r="P85" s="19">
        <f>EXP((interestRate-dividend)*(time-G85))*futMult</f>
        <v>250</v>
      </c>
      <c r="Q85">
        <f t="shared" ca="1" si="11"/>
        <v>-16.410734819667624</v>
      </c>
      <c r="R85" s="32">
        <f t="shared" ca="1" si="15"/>
        <v>0.62982245456877806</v>
      </c>
      <c r="S85" s="17">
        <f t="shared" ca="1" si="16"/>
        <v>-16.410734819667624</v>
      </c>
      <c r="T85" s="24">
        <f t="shared" ca="1" si="17"/>
        <v>3466.817625853575</v>
      </c>
      <c r="U85" s="24">
        <f t="shared" ca="1" si="18"/>
        <v>3306.9007323485152</v>
      </c>
      <c r="V85" s="24">
        <f ca="1">S84*(O85-O84)*futMult</f>
        <v>-3306.9007323485152</v>
      </c>
      <c r="W85" s="24">
        <f ca="1">T85+V85</f>
        <v>159.91689350505976</v>
      </c>
      <c r="X85" s="24">
        <f ca="1">X84+T85</f>
        <v>120062.172124481</v>
      </c>
      <c r="Y85" s="24">
        <f t="shared" ca="1" si="19"/>
        <v>-30312.999295619615</v>
      </c>
      <c r="Z85" s="24"/>
    </row>
    <row r="86" spans="6:26" x14ac:dyDescent="0.25">
      <c r="F86" s="18">
        <f t="shared" si="12"/>
        <v>83</v>
      </c>
      <c r="G86">
        <f t="shared" si="10"/>
        <v>0.32936507936507936</v>
      </c>
      <c r="H86" s="8">
        <v>-3.2590148475035541E-3</v>
      </c>
      <c r="I86" s="8">
        <f ca="1">(interestRate-dividend-0.5*sigma^2)*1/252+sigma*SQRT(1/252)*_xlfn.NORM.S.INV(RAND())</f>
        <v>-5.3899375249298999E-3</v>
      </c>
      <c r="J86" s="27">
        <f t="shared" ca="1" si="13"/>
        <v>117.13360387947583</v>
      </c>
      <c r="K86" s="20">
        <f t="shared" ca="1" si="14"/>
        <v>117.13360387947583</v>
      </c>
      <c r="L86" s="20">
        <f ca="1">BlackScholes(OptType,"Price",K86,Strike,time-G86,0,sigma,interestRate,dividend)</f>
        <v>6.5561628475006666</v>
      </c>
      <c r="M86" s="21">
        <f ca="1">L86*units*optMult*IF(Side="Short",-1,1)</f>
        <v>-65561.62847500667</v>
      </c>
      <c r="N86" s="6">
        <f ca="1">BlackScholes(OptType,"Delta",K86,Strike,time-G86,0,sigma,interestRate,dividend)*IF(Side="Short",-1,1)*units*optMult</f>
        <v>4230.364208630639</v>
      </c>
      <c r="O86" s="6">
        <f ca="1">K86*EXP((interestRate-dividend)*(time-G86))</f>
        <v>117.13360387947583</v>
      </c>
      <c r="P86" s="19">
        <f>EXP((interestRate-dividend)*(time-G86))*futMult</f>
        <v>250</v>
      </c>
      <c r="Q86">
        <f t="shared" ca="1" si="11"/>
        <v>-16.921456834522555</v>
      </c>
      <c r="R86" s="32">
        <f t="shared" ca="1" si="15"/>
        <v>-0.51072201485493096</v>
      </c>
      <c r="S86" s="17">
        <f t="shared" ca="1" si="16"/>
        <v>-16.921456834522555</v>
      </c>
      <c r="T86" s="24">
        <f t="shared" ca="1" si="17"/>
        <v>-2415.7491251543179</v>
      </c>
      <c r="U86" s="24">
        <f t="shared" ca="1" si="18"/>
        <v>-2597.1929125068464</v>
      </c>
      <c r="V86" s="24">
        <f ca="1">S85*(O86-O85)*futMult</f>
        <v>2597.1929125068464</v>
      </c>
      <c r="W86" s="24">
        <f ca="1">T86+V86</f>
        <v>181.44378735252849</v>
      </c>
      <c r="X86" s="24">
        <f ca="1">X85+T86</f>
        <v>117646.42299932669</v>
      </c>
      <c r="Y86" s="24">
        <f t="shared" ca="1" si="19"/>
        <v>-27715.806383112769</v>
      </c>
      <c r="Z86" s="24"/>
    </row>
    <row r="87" spans="6:26" x14ac:dyDescent="0.25">
      <c r="F87" s="18">
        <f t="shared" si="12"/>
        <v>84</v>
      </c>
      <c r="G87">
        <f t="shared" si="10"/>
        <v>0.33333333333333331</v>
      </c>
      <c r="H87" s="8">
        <v>7.6142499852454399E-3</v>
      </c>
      <c r="I87" s="8">
        <f ca="1">(interestRate-dividend-0.5*sigma^2)*1/252+sigma*SQRT(1/252)*_xlfn.NORM.S.INV(RAND())</f>
        <v>2.8692245517109694E-2</v>
      </c>
      <c r="J87" s="27">
        <f t="shared" ca="1" si="13"/>
        <v>120.54310928170239</v>
      </c>
      <c r="K87" s="20">
        <f t="shared" ca="1" si="14"/>
        <v>120.54310928170239</v>
      </c>
      <c r="L87" s="20">
        <f ca="1">BlackScholes(OptType,"Price",K87,Strike,time-G87,0,sigma,interestRate,dividend)</f>
        <v>5.2078797208209782</v>
      </c>
      <c r="M87" s="21">
        <f ca="1">L87*units*optMult*IF(Side="Short",-1,1)</f>
        <v>-52078.797208209777</v>
      </c>
      <c r="N87" s="6">
        <f ca="1">BlackScholes(OptType,"Delta",K87,Strike,time-G87,0,sigma,interestRate,dividend)*IF(Side="Short",-1,1)*units*optMult</f>
        <v>3557.1884961029054</v>
      </c>
      <c r="O87" s="6">
        <f ca="1">K87*EXP((interestRate-dividend)*(time-G87))</f>
        <v>120.54310928170239</v>
      </c>
      <c r="P87" s="19">
        <f>EXP((interestRate-dividend)*(time-G87))*futMult</f>
        <v>250</v>
      </c>
      <c r="Q87">
        <f t="shared" ca="1" si="11"/>
        <v>-14.228753984411622</v>
      </c>
      <c r="R87" s="32">
        <f t="shared" ca="1" si="15"/>
        <v>2.6927028501109334</v>
      </c>
      <c r="S87" s="17">
        <f t="shared" ca="1" si="16"/>
        <v>-14.228753984411622</v>
      </c>
      <c r="T87" s="24">
        <f t="shared" ca="1" si="17"/>
        <v>13482.831266796893</v>
      </c>
      <c r="U87" s="24">
        <f t="shared" ca="1" si="18"/>
        <v>14423.449622712038</v>
      </c>
      <c r="V87" s="24">
        <f ca="1">S86*(O87-O86)*futMult</f>
        <v>-14423.449622712038</v>
      </c>
      <c r="W87" s="24">
        <f ca="1">T87+V87</f>
        <v>-940.618355915145</v>
      </c>
      <c r="X87" s="24">
        <f ca="1">X86+T87</f>
        <v>131129.25426612358</v>
      </c>
      <c r="Y87" s="24">
        <f t="shared" ca="1" si="19"/>
        <v>-42139.256005824805</v>
      </c>
      <c r="Z87" s="24"/>
    </row>
    <row r="88" spans="6:26" x14ac:dyDescent="0.25">
      <c r="F88" s="18">
        <f t="shared" si="12"/>
        <v>85</v>
      </c>
      <c r="G88">
        <f t="shared" si="10"/>
        <v>0.33730158730158732</v>
      </c>
      <c r="H88" s="8">
        <v>4.2576741760646094E-3</v>
      </c>
      <c r="I88" s="8">
        <f ca="1">(interestRate-dividend-0.5*sigma^2)*1/252+sigma*SQRT(1/252)*_xlfn.NORM.S.INV(RAND())</f>
        <v>7.990428072801611E-3</v>
      </c>
      <c r="J88" s="27">
        <f t="shared" ca="1" si="13"/>
        <v>121.51015875044406</v>
      </c>
      <c r="K88" s="20">
        <f t="shared" ca="1" si="14"/>
        <v>121.51015875044406</v>
      </c>
      <c r="L88" s="20">
        <f ca="1">BlackScholes(OptType,"Price",K88,Strike,time-G88,0,sigma,interestRate,dividend)</f>
        <v>4.8510437348136373</v>
      </c>
      <c r="M88" s="21">
        <f ca="1">L88*units*optMult*IF(Side="Short",-1,1)</f>
        <v>-48510.437348136373</v>
      </c>
      <c r="N88" s="6">
        <f ca="1">BlackScholes(OptType,"Delta",K88,Strike,time-G88,0,sigma,interestRate,dividend)*IF(Side="Short",-1,1)*units*optMult</f>
        <v>3373.8087562767005</v>
      </c>
      <c r="O88" s="6">
        <f ca="1">K88*EXP((interestRate-dividend)*(time-G88))</f>
        <v>121.51015875044406</v>
      </c>
      <c r="P88" s="19">
        <f>EXP((interestRate-dividend)*(time-G88))*futMult</f>
        <v>250</v>
      </c>
      <c r="Q88">
        <f t="shared" ca="1" si="11"/>
        <v>-13.495235025106801</v>
      </c>
      <c r="R88" s="32">
        <f t="shared" ca="1" si="15"/>
        <v>0.73351895930482058</v>
      </c>
      <c r="S88" s="17">
        <f t="shared" ca="1" si="16"/>
        <v>-13.495235025106801</v>
      </c>
      <c r="T88" s="24">
        <f t="shared" ca="1" si="17"/>
        <v>3568.359860073404</v>
      </c>
      <c r="U88" s="24">
        <f t="shared" ca="1" si="18"/>
        <v>3439.9772453703222</v>
      </c>
      <c r="V88" s="24">
        <f ca="1">S87*(O88-O87)*futMult</f>
        <v>-3439.9772453703222</v>
      </c>
      <c r="W88" s="24">
        <f ca="1">T88+V88</f>
        <v>128.3826147030818</v>
      </c>
      <c r="X88" s="24">
        <f ca="1">X87+T88</f>
        <v>134697.61412619698</v>
      </c>
      <c r="Y88" s="24">
        <f t="shared" ca="1" si="19"/>
        <v>-45579.233251195124</v>
      </c>
      <c r="Z88" s="24"/>
    </row>
    <row r="89" spans="6:26" x14ac:dyDescent="0.25">
      <c r="F89" s="18">
        <f t="shared" si="12"/>
        <v>86</v>
      </c>
      <c r="G89">
        <f t="shared" si="10"/>
        <v>0.34126984126984128</v>
      </c>
      <c r="H89" s="8">
        <v>-1.9688921501174726E-3</v>
      </c>
      <c r="I89" s="8">
        <f ca="1">(interestRate-dividend-0.5*sigma^2)*1/252+sigma*SQRT(1/252)*_xlfn.NORM.S.INV(RAND())</f>
        <v>-4.2865943033572659E-3</v>
      </c>
      <c r="J89" s="27">
        <f t="shared" ca="1" si="13"/>
        <v>120.99040877065782</v>
      </c>
      <c r="K89" s="20">
        <f t="shared" ca="1" si="14"/>
        <v>120.99040877065782</v>
      </c>
      <c r="L89" s="20">
        <f ca="1">BlackScholes(OptType,"Price",K89,Strike,time-G89,0,sigma,interestRate,dividend)</f>
        <v>5.0070967481599089</v>
      </c>
      <c r="M89" s="21">
        <f ca="1">L89*units*optMult*IF(Side="Short",-1,1)</f>
        <v>-50070.967481599087</v>
      </c>
      <c r="N89" s="6">
        <f ca="1">BlackScholes(OptType,"Delta",K89,Strike,time-G89,0,sigma,interestRate,dividend)*IF(Side="Short",-1,1)*units*optMult</f>
        <v>3467.9519809801027</v>
      </c>
      <c r="O89" s="6">
        <f ca="1">K89*EXP((interestRate-dividend)*(time-G89))</f>
        <v>120.99040877065782</v>
      </c>
      <c r="P89" s="19">
        <f>EXP((interestRate-dividend)*(time-G89))*futMult</f>
        <v>250</v>
      </c>
      <c r="Q89">
        <f t="shared" ca="1" si="11"/>
        <v>-13.871807923920411</v>
      </c>
      <c r="R89" s="32">
        <f t="shared" ca="1" si="15"/>
        <v>-0.37657289881360967</v>
      </c>
      <c r="S89" s="17">
        <f t="shared" ca="1" si="16"/>
        <v>-13.871807923920411</v>
      </c>
      <c r="T89" s="24">
        <f t="shared" ca="1" si="17"/>
        <v>-1560.5301334627147</v>
      </c>
      <c r="U89" s="24">
        <f t="shared" ca="1" si="18"/>
        <v>-1753.5370328774566</v>
      </c>
      <c r="V89" s="24">
        <f ca="1">S88*(O89-O88)*futMult</f>
        <v>1753.5370328774563</v>
      </c>
      <c r="W89" s="24">
        <f ca="1">T89+V89</f>
        <v>193.00689941474161</v>
      </c>
      <c r="X89" s="24">
        <f ca="1">X88+T89</f>
        <v>133137.08399273426</v>
      </c>
      <c r="Y89" s="24">
        <f t="shared" ca="1" si="19"/>
        <v>-43825.696218317666</v>
      </c>
      <c r="Z89" s="24"/>
    </row>
    <row r="90" spans="6:26" x14ac:dyDescent="0.25">
      <c r="F90" s="18">
        <f t="shared" si="12"/>
        <v>87</v>
      </c>
      <c r="G90">
        <f t="shared" si="10"/>
        <v>0.34523809523809523</v>
      </c>
      <c r="H90" s="8">
        <v>-4.3452566888454594E-3</v>
      </c>
      <c r="I90" s="8">
        <f ca="1">(interestRate-dividend-0.5*sigma^2)*1/252+sigma*SQRT(1/252)*_xlfn.NORM.S.INV(RAND())</f>
        <v>8.9891698881534969E-3</v>
      </c>
      <c r="J90" s="27">
        <f t="shared" ca="1" si="13"/>
        <v>122.08291511583407</v>
      </c>
      <c r="K90" s="20">
        <f t="shared" ca="1" si="14"/>
        <v>122.08291511583407</v>
      </c>
      <c r="L90" s="20">
        <f ca="1">BlackScholes(OptType,"Price",K90,Strike,time-G90,0,sigma,interestRate,dividend)</f>
        <v>4.617766396291545</v>
      </c>
      <c r="M90" s="21">
        <f ca="1">L90*units*optMult*IF(Side="Short",-1,1)</f>
        <v>-46177.663962915452</v>
      </c>
      <c r="N90" s="6">
        <f ca="1">BlackScholes(OptType,"Delta",K90,Strike,time-G90,0,sigma,interestRate,dividend)*IF(Side="Short",-1,1)*units*optMult</f>
        <v>3262.7072117991338</v>
      </c>
      <c r="O90" s="6">
        <f ca="1">K90*EXP((interestRate-dividend)*(time-G90))</f>
        <v>122.08291511583407</v>
      </c>
      <c r="P90" s="19">
        <f>EXP((interestRate-dividend)*(time-G90))*futMult</f>
        <v>250</v>
      </c>
      <c r="Q90">
        <f t="shared" ca="1" si="11"/>
        <v>-13.050828847196534</v>
      </c>
      <c r="R90" s="32">
        <f t="shared" ca="1" si="15"/>
        <v>0.82097907672387649</v>
      </c>
      <c r="S90" s="17">
        <f t="shared" ca="1" si="16"/>
        <v>-13.050828847196534</v>
      </c>
      <c r="T90" s="24">
        <f t="shared" ca="1" si="17"/>
        <v>3893.303518683635</v>
      </c>
      <c r="U90" s="24">
        <f t="shared" ca="1" si="18"/>
        <v>3788.7595439872971</v>
      </c>
      <c r="V90" s="24">
        <f ca="1">S89*(O90-O89)*futMult</f>
        <v>-3788.7595439872971</v>
      </c>
      <c r="W90" s="24">
        <f ca="1">T90+V90</f>
        <v>104.54397469633795</v>
      </c>
      <c r="X90" s="24">
        <f ca="1">X89+T90</f>
        <v>137030.38751141791</v>
      </c>
      <c r="Y90" s="24">
        <f t="shared" ca="1" si="19"/>
        <v>-47614.455762304962</v>
      </c>
      <c r="Z90" s="24"/>
    </row>
    <row r="91" spans="6:26" x14ac:dyDescent="0.25">
      <c r="F91" s="18">
        <f t="shared" si="12"/>
        <v>88</v>
      </c>
      <c r="G91">
        <f t="shared" si="10"/>
        <v>0.34920634920634919</v>
      </c>
      <c r="H91" s="8">
        <v>3.7932714995750081E-3</v>
      </c>
      <c r="I91" s="8">
        <f ca="1">(interestRate-dividend-0.5*sigma^2)*1/252+sigma*SQRT(1/252)*_xlfn.NORM.S.INV(RAND())</f>
        <v>2.1198687174706263E-3</v>
      </c>
      <c r="J91" s="27">
        <f t="shared" ca="1" si="13"/>
        <v>122.34198937321268</v>
      </c>
      <c r="K91" s="20">
        <f t="shared" ca="1" si="14"/>
        <v>122.34198937321268</v>
      </c>
      <c r="L91" s="20">
        <f ca="1">BlackScholes(OptType,"Price",K91,Strike,time-G91,0,sigma,interestRate,dividend)</f>
        <v>4.5123212246516093</v>
      </c>
      <c r="M91" s="21">
        <f ca="1">L91*units*optMult*IF(Side="Short",-1,1)</f>
        <v>-45123.212246516094</v>
      </c>
      <c r="N91" s="6">
        <f ca="1">BlackScholes(OptType,"Delta",K91,Strike,time-G91,0,sigma,interestRate,dividend)*IF(Side="Short",-1,1)*units*optMult</f>
        <v>3212.3363463862665</v>
      </c>
      <c r="O91" s="6">
        <f ca="1">K91*EXP((interestRate-dividend)*(time-G91))</f>
        <v>122.34198937321268</v>
      </c>
      <c r="P91" s="19">
        <f>EXP((interestRate-dividend)*(time-G91))*futMult</f>
        <v>250</v>
      </c>
      <c r="Q91">
        <f t="shared" ca="1" si="11"/>
        <v>-12.849345385545066</v>
      </c>
      <c r="R91" s="32">
        <f t="shared" ca="1" si="15"/>
        <v>0.20148346165146869</v>
      </c>
      <c r="S91" s="17">
        <f t="shared" ca="1" si="16"/>
        <v>-12.849345385545066</v>
      </c>
      <c r="T91" s="24">
        <f t="shared" ca="1" si="17"/>
        <v>1054.4517163993587</v>
      </c>
      <c r="U91" s="24">
        <f t="shared" ca="1" si="18"/>
        <v>845.28344794071029</v>
      </c>
      <c r="V91" s="24">
        <f ca="1">S90*(O91-O90)*futMult</f>
        <v>-845.28344794071029</v>
      </c>
      <c r="W91" s="24">
        <f ca="1">T91+V91</f>
        <v>209.16826845864841</v>
      </c>
      <c r="X91" s="24">
        <f ca="1">X90+T91</f>
        <v>138084.83922781725</v>
      </c>
      <c r="Y91" s="24">
        <f t="shared" ca="1" si="19"/>
        <v>-48459.739210245672</v>
      </c>
      <c r="Z91" s="24"/>
    </row>
    <row r="92" spans="6:26" x14ac:dyDescent="0.25">
      <c r="F92" s="18">
        <f t="shared" si="12"/>
        <v>89</v>
      </c>
      <c r="G92">
        <f t="shared" si="10"/>
        <v>0.3531746031746032</v>
      </c>
      <c r="H92" s="8">
        <v>-4.8230969163704143E-3</v>
      </c>
      <c r="I92" s="8">
        <f ca="1">(interestRate-dividend-0.5*sigma^2)*1/252+sigma*SQRT(1/252)*_xlfn.NORM.S.INV(RAND())</f>
        <v>-6.6705789349942139E-3</v>
      </c>
      <c r="J92" s="27">
        <f t="shared" ca="1" si="13"/>
        <v>121.52861333660083</v>
      </c>
      <c r="K92" s="20">
        <f t="shared" ca="1" si="14"/>
        <v>121.52861333660083</v>
      </c>
      <c r="L92" s="20">
        <f ca="1">BlackScholes(OptType,"Price",K92,Strike,time-G92,0,sigma,interestRate,dividend)</f>
        <v>4.7578202974755994</v>
      </c>
      <c r="M92" s="21">
        <f ca="1">L92*units*optMult*IF(Side="Short",-1,1)</f>
        <v>-47578.202974755994</v>
      </c>
      <c r="N92" s="6">
        <f ca="1">BlackScholes(OptType,"Delta",K92,Strike,time-G92,0,sigma,interestRate,dividend)*IF(Side="Short",-1,1)*units*optMult</f>
        <v>3358.8871634859311</v>
      </c>
      <c r="O92" s="6">
        <f ca="1">K92*EXP((interestRate-dividend)*(time-G92))</f>
        <v>121.52861333660083</v>
      </c>
      <c r="P92" s="19">
        <f>EXP((interestRate-dividend)*(time-G92))*futMult</f>
        <v>250</v>
      </c>
      <c r="Q92">
        <f t="shared" ca="1" si="11"/>
        <v>-13.435548653943725</v>
      </c>
      <c r="R92" s="32">
        <f t="shared" ca="1" si="15"/>
        <v>-0.58620326839865911</v>
      </c>
      <c r="S92" s="17">
        <f t="shared" ca="1" si="16"/>
        <v>-13.435548653943725</v>
      </c>
      <c r="T92" s="24">
        <f t="shared" ca="1" si="17"/>
        <v>-2454.9907282398999</v>
      </c>
      <c r="U92" s="24">
        <f t="shared" ca="1" si="18"/>
        <v>-2612.8374056878733</v>
      </c>
      <c r="V92" s="24">
        <f ca="1">S91*(O92-O91)*futMult</f>
        <v>2612.8374056878733</v>
      </c>
      <c r="W92" s="24">
        <f ca="1">T92+V92</f>
        <v>157.84667744797343</v>
      </c>
      <c r="X92" s="24">
        <f ca="1">X91+T92</f>
        <v>135629.84849957735</v>
      </c>
      <c r="Y92" s="24">
        <f t="shared" ca="1" si="19"/>
        <v>-45846.901804557798</v>
      </c>
      <c r="Z92" s="24"/>
    </row>
    <row r="93" spans="6:26" x14ac:dyDescent="0.25">
      <c r="F93" s="18">
        <f t="shared" si="12"/>
        <v>90</v>
      </c>
      <c r="G93">
        <f t="shared" si="10"/>
        <v>0.35714285714285715</v>
      </c>
      <c r="H93" s="8">
        <v>-1.1318469308021889E-2</v>
      </c>
      <c r="I93" s="8">
        <f ca="1">(interestRate-dividend-0.5*sigma^2)*1/252+sigma*SQRT(1/252)*_xlfn.NORM.S.INV(RAND())</f>
        <v>3.6723834661898168E-3</v>
      </c>
      <c r="J93" s="27">
        <f t="shared" ca="1" si="13"/>
        <v>121.97573350273655</v>
      </c>
      <c r="K93" s="20">
        <f t="shared" ca="1" si="14"/>
        <v>121.97573350273655</v>
      </c>
      <c r="L93" s="20">
        <f ca="1">BlackScholes(OptType,"Price",K93,Strike,time-G93,0,sigma,interestRate,dividend)</f>
        <v>4.5877334673078671</v>
      </c>
      <c r="M93" s="21">
        <f ca="1">L93*units*optMult*IF(Side="Short",-1,1)</f>
        <v>-45877.334673078672</v>
      </c>
      <c r="N93" s="6">
        <f ca="1">BlackScholes(OptType,"Delta",K93,Strike,time-G93,0,sigma,interestRate,dividend)*IF(Side="Short",-1,1)*units*optMult</f>
        <v>3272.8520137242617</v>
      </c>
      <c r="O93" s="6">
        <f ca="1">K93*EXP((interestRate-dividend)*(time-G93))</f>
        <v>121.97573350273655</v>
      </c>
      <c r="P93" s="19">
        <f>EXP((interestRate-dividend)*(time-G93))*futMult</f>
        <v>250</v>
      </c>
      <c r="Q93">
        <f t="shared" ca="1" si="11"/>
        <v>-13.091408054897046</v>
      </c>
      <c r="R93" s="32">
        <f t="shared" ca="1" si="15"/>
        <v>0.34414059904667837</v>
      </c>
      <c r="S93" s="17">
        <f t="shared" ca="1" si="16"/>
        <v>-13.091408054897046</v>
      </c>
      <c r="T93" s="24">
        <f t="shared" ca="1" si="17"/>
        <v>1700.8683016773211</v>
      </c>
      <c r="U93" s="24">
        <f t="shared" ca="1" si="18"/>
        <v>1501.8261865689617</v>
      </c>
      <c r="V93" s="24">
        <f ca="1">S92*(O93-O92)*futMult</f>
        <v>-1501.8261865689617</v>
      </c>
      <c r="W93" s="24">
        <f ca="1">T93+V93</f>
        <v>199.04211510835944</v>
      </c>
      <c r="X93" s="24">
        <f ca="1">X92+T93</f>
        <v>137330.71680125466</v>
      </c>
      <c r="Y93" s="24">
        <f t="shared" ca="1" si="19"/>
        <v>-47348.727991126761</v>
      </c>
      <c r="Z93" s="24"/>
    </row>
    <row r="94" spans="6:26" x14ac:dyDescent="0.25">
      <c r="F94" s="18">
        <f t="shared" si="12"/>
        <v>91</v>
      </c>
      <c r="G94">
        <f t="shared" si="10"/>
        <v>0.3611111111111111</v>
      </c>
      <c r="H94" s="8">
        <v>2.2588636279061415E-2</v>
      </c>
      <c r="I94" s="8">
        <f ca="1">(interestRate-dividend-0.5*sigma^2)*1/252+sigma*SQRT(1/252)*_xlfn.NORM.S.INV(RAND())</f>
        <v>-2.7917932861492279E-3</v>
      </c>
      <c r="J94" s="27">
        <f t="shared" ca="1" si="13"/>
        <v>121.63567737295004</v>
      </c>
      <c r="K94" s="20">
        <f t="shared" ca="1" si="14"/>
        <v>121.63567737295004</v>
      </c>
      <c r="L94" s="20">
        <f ca="1">BlackScholes(OptType,"Price",K94,Strike,time-G94,0,sigma,interestRate,dividend)</f>
        <v>4.6781737813247259</v>
      </c>
      <c r="M94" s="21">
        <f ca="1">L94*units*optMult*IF(Side="Short",-1,1)</f>
        <v>-46781.737813247259</v>
      </c>
      <c r="N94" s="6">
        <f ca="1">BlackScholes(OptType,"Delta",K94,Strike,time-G94,0,sigma,interestRate,dividend)*IF(Side="Short",-1,1)*units*optMult</f>
        <v>3332.8908074263468</v>
      </c>
      <c r="O94" s="6">
        <f ca="1">K94*EXP((interestRate-dividend)*(time-G94))</f>
        <v>121.63567737295004</v>
      </c>
      <c r="P94" s="19">
        <f>EXP((interestRate-dividend)*(time-G94))*futMult</f>
        <v>250</v>
      </c>
      <c r="Q94">
        <f t="shared" ca="1" si="11"/>
        <v>-13.331563229705386</v>
      </c>
      <c r="R94" s="32">
        <f t="shared" ca="1" si="15"/>
        <v>-0.24015517480833992</v>
      </c>
      <c r="S94" s="17">
        <f t="shared" ca="1" si="16"/>
        <v>-13.331563229705386</v>
      </c>
      <c r="T94" s="24">
        <f t="shared" ca="1" si="17"/>
        <v>-904.40314016858611</v>
      </c>
      <c r="U94" s="24">
        <f t="shared" ca="1" si="18"/>
        <v>-1112.9533891510382</v>
      </c>
      <c r="V94" s="24">
        <f ca="1">S93*(O94-O93)*futMult</f>
        <v>1112.9533891510382</v>
      </c>
      <c r="W94" s="24">
        <f ca="1">T94+V94</f>
        <v>208.5502489824521</v>
      </c>
      <c r="X94" s="24">
        <f ca="1">X93+T94</f>
        <v>136426.31366108608</v>
      </c>
      <c r="Y94" s="24">
        <f t="shared" ca="1" si="19"/>
        <v>-46235.774601975725</v>
      </c>
      <c r="Z94" s="24"/>
    </row>
    <row r="95" spans="6:26" x14ac:dyDescent="0.25">
      <c r="F95" s="18">
        <f t="shared" si="12"/>
        <v>92</v>
      </c>
      <c r="G95">
        <f t="shared" si="10"/>
        <v>0.36507936507936506</v>
      </c>
      <c r="H95" s="8">
        <v>-5.4221970886164615E-3</v>
      </c>
      <c r="I95" s="8">
        <f ca="1">(interestRate-dividend-0.5*sigma^2)*1/252+sigma*SQRT(1/252)*_xlfn.NORM.S.INV(RAND())</f>
        <v>-1.1325756870924466E-2</v>
      </c>
      <c r="J95" s="27">
        <f t="shared" ca="1" si="13"/>
        <v>120.2658331681787</v>
      </c>
      <c r="K95" s="20">
        <f t="shared" ca="1" si="14"/>
        <v>120.2658331681787</v>
      </c>
      <c r="L95" s="20">
        <f ca="1">BlackScholes(OptType,"Price",K95,Strike,time-G95,0,sigma,interestRate,dividend)</f>
        <v>5.1301527234114817</v>
      </c>
      <c r="M95" s="21">
        <f ca="1">L95*units*optMult*IF(Side="Short",-1,1)</f>
        <v>-51301.527234114816</v>
      </c>
      <c r="N95" s="6">
        <f ca="1">BlackScholes(OptType,"Delta",K95,Strike,time-G95,0,sigma,interestRate,dividend)*IF(Side="Short",-1,1)*units*optMult</f>
        <v>3591.8924735850942</v>
      </c>
      <c r="O95" s="6">
        <f ca="1">K95*EXP((interestRate-dividend)*(time-G95))</f>
        <v>120.2658331681787</v>
      </c>
      <c r="P95" s="19">
        <f>EXP((interestRate-dividend)*(time-G95))*futMult</f>
        <v>250</v>
      </c>
      <c r="Q95">
        <f t="shared" ca="1" si="11"/>
        <v>-14.367569894340377</v>
      </c>
      <c r="R95" s="32">
        <f t="shared" ca="1" si="15"/>
        <v>-1.036006664634991</v>
      </c>
      <c r="S95" s="17">
        <f t="shared" ca="1" si="16"/>
        <v>-14.367569894340377</v>
      </c>
      <c r="T95" s="24">
        <f t="shared" ca="1" si="17"/>
        <v>-4519.7894208675571</v>
      </c>
      <c r="U95" s="24">
        <f t="shared" ca="1" si="18"/>
        <v>-4565.5411576886527</v>
      </c>
      <c r="V95" s="24">
        <f ca="1">S94*(O95-O94)*futMult</f>
        <v>4565.5411576886527</v>
      </c>
      <c r="W95" s="24">
        <f ca="1">T95+V95</f>
        <v>45.751736821095619</v>
      </c>
      <c r="X95" s="24">
        <f ca="1">X94+T95</f>
        <v>131906.52424021851</v>
      </c>
      <c r="Y95" s="24">
        <f t="shared" ca="1" si="19"/>
        <v>-41670.233444287071</v>
      </c>
      <c r="Z95" s="24"/>
    </row>
    <row r="96" spans="6:26" x14ac:dyDescent="0.25">
      <c r="F96" s="18">
        <f t="shared" si="12"/>
        <v>93</v>
      </c>
      <c r="G96">
        <f t="shared" si="10"/>
        <v>0.36904761904761907</v>
      </c>
      <c r="H96" s="8">
        <v>1.3384146884644088E-2</v>
      </c>
      <c r="I96" s="8">
        <f ca="1">(interestRate-dividend-0.5*sigma^2)*1/252+sigma*SQRT(1/252)*_xlfn.NORM.S.INV(RAND())</f>
        <v>-1.1390011557079447E-2</v>
      </c>
      <c r="J96" s="27">
        <f t="shared" ca="1" si="13"/>
        <v>118.9037755894667</v>
      </c>
      <c r="K96" s="20">
        <f t="shared" ca="1" si="14"/>
        <v>118.9037755894667</v>
      </c>
      <c r="L96" s="20">
        <f ca="1">BlackScholes(OptType,"Price",K96,Strike,time-G96,0,sigma,interestRate,dividend)</f>
        <v>5.6150089048418117</v>
      </c>
      <c r="M96" s="21">
        <f ca="1">L96*units*optMult*IF(Side="Short",-1,1)</f>
        <v>-56150.089048418115</v>
      </c>
      <c r="N96" s="6">
        <f ca="1">BlackScholes(OptType,"Delta",K96,Strike,time-G96,0,sigma,interestRate,dividend)*IF(Side="Short",-1,1)*units*optMult</f>
        <v>3860.7518136274357</v>
      </c>
      <c r="O96" s="6">
        <f ca="1">K96*EXP((interestRate-dividend)*(time-G96))</f>
        <v>118.9037755894667</v>
      </c>
      <c r="P96" s="19">
        <f>EXP((interestRate-dividend)*(time-G96))*futMult</f>
        <v>250</v>
      </c>
      <c r="Q96">
        <f t="shared" ca="1" si="11"/>
        <v>-15.443007254509743</v>
      </c>
      <c r="R96" s="32">
        <f t="shared" ca="1" si="15"/>
        <v>-1.0754373601693654</v>
      </c>
      <c r="S96" s="17">
        <f t="shared" ca="1" si="16"/>
        <v>-15.443007254509743</v>
      </c>
      <c r="T96" s="24">
        <f t="shared" ca="1" si="17"/>
        <v>-4848.5618143032989</v>
      </c>
      <c r="U96" s="24">
        <f t="shared" ca="1" si="18"/>
        <v>-4892.3643655651613</v>
      </c>
      <c r="V96" s="24">
        <f ca="1">S95*(O96-O95)*futMult</f>
        <v>4892.3643655651613</v>
      </c>
      <c r="W96" s="24">
        <f ca="1">T96+V96</f>
        <v>43.802551261862391</v>
      </c>
      <c r="X96" s="24">
        <f ca="1">X95+T96</f>
        <v>127057.9624259152</v>
      </c>
      <c r="Y96" s="24">
        <f t="shared" ca="1" si="19"/>
        <v>-36777.869078721909</v>
      </c>
      <c r="Z96" s="24"/>
    </row>
    <row r="97" spans="6:26" x14ac:dyDescent="0.25">
      <c r="F97" s="18">
        <f t="shared" si="12"/>
        <v>94</v>
      </c>
      <c r="G97">
        <f t="shared" si="10"/>
        <v>0.37301587301587302</v>
      </c>
      <c r="H97" s="8">
        <v>8.1304408540756479E-3</v>
      </c>
      <c r="I97" s="8">
        <f ca="1">(interestRate-dividend-0.5*sigma^2)*1/252+sigma*SQRT(1/252)*_xlfn.NORM.S.INV(RAND())</f>
        <v>-1.0930120098118418E-2</v>
      </c>
      <c r="J97" s="27">
        <f t="shared" ca="1" si="13"/>
        <v>117.61121980530908</v>
      </c>
      <c r="K97" s="20">
        <f t="shared" ca="1" si="14"/>
        <v>117.61121980530908</v>
      </c>
      <c r="L97" s="20">
        <f ca="1">BlackScholes(OptType,"Price",K97,Strike,time-G97,0,sigma,interestRate,dividend)</f>
        <v>6.1082072185803407</v>
      </c>
      <c r="M97" s="21">
        <f ca="1">L97*units*optMult*IF(Side="Short",-1,1)</f>
        <v>-61082.072185803409</v>
      </c>
      <c r="N97" s="6">
        <f ca="1">BlackScholes(OptType,"Delta",K97,Strike,time-G97,0,sigma,interestRate,dividend)*IF(Side="Short",-1,1)*units*optMult</f>
        <v>4125.6243670629246</v>
      </c>
      <c r="O97" s="6">
        <f ca="1">K97*EXP((interestRate-dividend)*(time-G97))</f>
        <v>117.61121980530908</v>
      </c>
      <c r="P97" s="19">
        <f>EXP((interestRate-dividend)*(time-G97))*futMult</f>
        <v>250</v>
      </c>
      <c r="Q97">
        <f t="shared" ca="1" si="11"/>
        <v>-16.502497468251697</v>
      </c>
      <c r="R97" s="32">
        <f t="shared" ca="1" si="15"/>
        <v>-1.0594902137419542</v>
      </c>
      <c r="S97" s="17">
        <f t="shared" ca="1" si="16"/>
        <v>-16.502497468251697</v>
      </c>
      <c r="T97" s="24">
        <f t="shared" ca="1" si="17"/>
        <v>-4931.983137385294</v>
      </c>
      <c r="U97" s="24">
        <f t="shared" ca="1" si="18"/>
        <v>-4990.2370879011942</v>
      </c>
      <c r="V97" s="24">
        <f ca="1">S96*(O97-O96)*futMult</f>
        <v>4990.2370879011942</v>
      </c>
      <c r="W97" s="24">
        <f ca="1">T97+V97</f>
        <v>58.253950515900215</v>
      </c>
      <c r="X97" s="24">
        <f ca="1">X96+T97</f>
        <v>122125.97928852991</v>
      </c>
      <c r="Y97" s="24">
        <f t="shared" ca="1" si="19"/>
        <v>-31787.631990820715</v>
      </c>
      <c r="Z97" s="24"/>
    </row>
    <row r="98" spans="6:26" x14ac:dyDescent="0.25">
      <c r="F98" s="18">
        <f t="shared" si="12"/>
        <v>95</v>
      </c>
      <c r="G98">
        <f t="shared" si="10"/>
        <v>0.37698412698412698</v>
      </c>
      <c r="H98" s="8">
        <v>4.6932188472398563E-3</v>
      </c>
      <c r="I98" s="8">
        <f ca="1">(interestRate-dividend-0.5*sigma^2)*1/252+sigma*SQRT(1/252)*_xlfn.NORM.S.INV(RAND())</f>
        <v>-1.5093781218097936E-2</v>
      </c>
      <c r="J98" s="27">
        <f t="shared" ca="1" si="13"/>
        <v>115.84935185869836</v>
      </c>
      <c r="K98" s="20">
        <f t="shared" ca="1" si="14"/>
        <v>115.84935185869836</v>
      </c>
      <c r="L98" s="20">
        <f ca="1">BlackScholes(OptType,"Price",K98,Strike,time-G98,0,sigma,interestRate,dividend)</f>
        <v>6.8448821969874656</v>
      </c>
      <c r="M98" s="21">
        <f ca="1">L98*units*optMult*IF(Side="Short",-1,1)</f>
        <v>-68448.821969874654</v>
      </c>
      <c r="N98" s="6">
        <f ca="1">BlackScholes(OptType,"Delta",K98,Strike,time-G98,0,sigma,interestRate,dividend)*IF(Side="Short",-1,1)*units*optMult</f>
        <v>4500.4612247815667</v>
      </c>
      <c r="O98" s="6">
        <f ca="1">K98*EXP((interestRate-dividend)*(time-G98))</f>
        <v>115.84935185869836</v>
      </c>
      <c r="P98" s="19">
        <f>EXP((interestRate-dividend)*(time-G98))*futMult</f>
        <v>250</v>
      </c>
      <c r="Q98">
        <f t="shared" ca="1" si="11"/>
        <v>-18.001844899126265</v>
      </c>
      <c r="R98" s="32">
        <f t="shared" ca="1" si="15"/>
        <v>-1.4993474308745682</v>
      </c>
      <c r="S98" s="17">
        <f t="shared" ca="1" si="16"/>
        <v>-18.001844899126265</v>
      </c>
      <c r="T98" s="24">
        <f t="shared" ca="1" si="17"/>
        <v>-7366.7497840712458</v>
      </c>
      <c r="U98" s="24">
        <f t="shared" ca="1" si="18"/>
        <v>-7268.8053320843101</v>
      </c>
      <c r="V98" s="24">
        <f ca="1">S97*(O98-O97)*futMult</f>
        <v>7268.8053320843101</v>
      </c>
      <c r="W98" s="24">
        <f ca="1">T98+V98</f>
        <v>-97.944451986935746</v>
      </c>
      <c r="X98" s="24">
        <f ca="1">X97+T98</f>
        <v>114759.22950445866</v>
      </c>
      <c r="Y98" s="24">
        <f t="shared" ca="1" si="19"/>
        <v>-24518.826658736405</v>
      </c>
      <c r="Z98" s="24"/>
    </row>
    <row r="99" spans="6:26" x14ac:dyDescent="0.25">
      <c r="F99" s="18">
        <f t="shared" si="12"/>
        <v>96</v>
      </c>
      <c r="G99">
        <f t="shared" si="10"/>
        <v>0.38095238095238093</v>
      </c>
      <c r="H99" s="8">
        <v>1.8028100175715982E-2</v>
      </c>
      <c r="I99" s="8">
        <f ca="1">(interestRate-dividend-0.5*sigma^2)*1/252+sigma*SQRT(1/252)*_xlfn.NORM.S.INV(RAND())</f>
        <v>5.9061517857035718E-3</v>
      </c>
      <c r="J99" s="27">
        <f t="shared" ca="1" si="13"/>
        <v>116.53560026382836</v>
      </c>
      <c r="K99" s="20">
        <f t="shared" ca="1" si="14"/>
        <v>116.53560026382836</v>
      </c>
      <c r="L99" s="20">
        <f ca="1">BlackScholes(OptType,"Price",K99,Strike,time-G99,0,sigma,interestRate,dividend)</f>
        <v>6.5180146421021528</v>
      </c>
      <c r="M99" s="21">
        <f ca="1">L99*units*optMult*IF(Side="Short",-1,1)</f>
        <v>-65180.146421021527</v>
      </c>
      <c r="N99" s="6">
        <f ca="1">BlackScholes(OptType,"Delta",K99,Strike,time-G99,0,sigma,interestRate,dividend)*IF(Side="Short",-1,1)*units*optMult</f>
        <v>4352.690013758348</v>
      </c>
      <c r="O99" s="6">
        <f ca="1">K99*EXP((interestRate-dividend)*(time-G99))</f>
        <v>116.53560026382836</v>
      </c>
      <c r="P99" s="19">
        <f>EXP((interestRate-dividend)*(time-G99))*futMult</f>
        <v>250</v>
      </c>
      <c r="Q99">
        <f t="shared" ca="1" si="11"/>
        <v>-17.410760055033393</v>
      </c>
      <c r="R99" s="32">
        <f t="shared" ca="1" si="15"/>
        <v>0.59108484409287243</v>
      </c>
      <c r="S99" s="17">
        <f t="shared" ca="1" si="16"/>
        <v>-17.410760055033393</v>
      </c>
      <c r="T99" s="24">
        <f t="shared" ca="1" si="17"/>
        <v>3268.6755488531271</v>
      </c>
      <c r="U99" s="24">
        <f t="shared" ca="1" si="18"/>
        <v>3088.4343378557633</v>
      </c>
      <c r="V99" s="24">
        <f ca="1">S98*(O99-O98)*futMult</f>
        <v>-3088.4343378557633</v>
      </c>
      <c r="W99" s="24">
        <f ca="1">T99+V99</f>
        <v>180.24121099736385</v>
      </c>
      <c r="X99" s="24">
        <f ca="1">X98+T99</f>
        <v>118027.90505331178</v>
      </c>
      <c r="Y99" s="24">
        <f t="shared" ca="1" si="19"/>
        <v>-27607.260996592169</v>
      </c>
      <c r="Z99" s="24"/>
    </row>
    <row r="100" spans="6:26" x14ac:dyDescent="0.25">
      <c r="F100" s="18">
        <f t="shared" si="12"/>
        <v>97</v>
      </c>
      <c r="G100">
        <f t="shared" si="10"/>
        <v>0.38492063492063494</v>
      </c>
      <c r="H100" s="8">
        <v>-1.5881189367951753E-2</v>
      </c>
      <c r="I100" s="8">
        <f ca="1">(interestRate-dividend-0.5*sigma^2)*1/252+sigma*SQRT(1/252)*_xlfn.NORM.S.INV(RAND())</f>
        <v>2.8153923444142865E-3</v>
      </c>
      <c r="J100" s="27">
        <f t="shared" ca="1" si="13"/>
        <v>116.86415599027845</v>
      </c>
      <c r="K100" s="20">
        <f t="shared" ca="1" si="14"/>
        <v>116.86415599027845</v>
      </c>
      <c r="L100" s="20">
        <f ca="1">BlackScholes(OptType,"Price",K100,Strike,time-G100,0,sigma,interestRate,dividend)</f>
        <v>6.3529913212114222</v>
      </c>
      <c r="M100" s="21">
        <f ca="1">L100*units*optMult*IF(Side="Short",-1,1)</f>
        <v>-63529.913212114217</v>
      </c>
      <c r="N100" s="6">
        <f ca="1">BlackScholes(OptType,"Delta",K100,Strike,time-G100,0,sigma,interestRate,dividend)*IF(Side="Short",-1,1)*units*optMult</f>
        <v>4282.0608953492974</v>
      </c>
      <c r="O100" s="6">
        <f ca="1">K100*EXP((interestRate-dividend)*(time-G100))</f>
        <v>116.86415599027845</v>
      </c>
      <c r="P100" s="19">
        <f>EXP((interestRate-dividend)*(time-G100))*futMult</f>
        <v>250</v>
      </c>
      <c r="Q100">
        <f t="shared" ca="1" si="11"/>
        <v>-17.128243581397189</v>
      </c>
      <c r="R100" s="32">
        <f t="shared" ca="1" si="15"/>
        <v>0.28251647363620336</v>
      </c>
      <c r="S100" s="17">
        <f t="shared" ca="1" si="16"/>
        <v>-17.128243581397189</v>
      </c>
      <c r="T100" s="24">
        <f t="shared" ca="1" si="17"/>
        <v>1650.2332089073097</v>
      </c>
      <c r="U100" s="24">
        <f t="shared" ca="1" si="18"/>
        <v>1430.1012294824302</v>
      </c>
      <c r="V100" s="24">
        <f ca="1">S99*(O100-O99)*futMult</f>
        <v>-1430.1012294824302</v>
      </c>
      <c r="W100" s="24">
        <f ca="1">T100+V100</f>
        <v>220.13197942487955</v>
      </c>
      <c r="X100" s="24">
        <f ca="1">X99+T100</f>
        <v>119678.13826221909</v>
      </c>
      <c r="Y100" s="24">
        <f t="shared" ca="1" si="19"/>
        <v>-29037.362226074598</v>
      </c>
      <c r="Z100" s="24"/>
    </row>
    <row r="101" spans="6:26" x14ac:dyDescent="0.25">
      <c r="F101" s="18">
        <f t="shared" si="12"/>
        <v>98</v>
      </c>
      <c r="G101">
        <f t="shared" si="10"/>
        <v>0.3888888888888889</v>
      </c>
      <c r="H101" s="8">
        <v>-1.4815085785140812E-2</v>
      </c>
      <c r="I101" s="8">
        <f ca="1">(interestRate-dividend-0.5*sigma^2)*1/252+sigma*SQRT(1/252)*_xlfn.NORM.S.INV(RAND())</f>
        <v>-3.1258912830148763E-3</v>
      </c>
      <c r="J101" s="27">
        <f t="shared" ca="1" si="13"/>
        <v>116.49942170063066</v>
      </c>
      <c r="K101" s="20">
        <f t="shared" ca="1" si="14"/>
        <v>116.49942170063066</v>
      </c>
      <c r="L101" s="20">
        <f ca="1">BlackScholes(OptType,"Price",K101,Strike,time-G101,0,sigma,interestRate,dividend)</f>
        <v>6.4873491402190862</v>
      </c>
      <c r="M101" s="21">
        <f ca="1">L101*units*optMult*IF(Side="Short",-1,1)</f>
        <v>-64873.491402190863</v>
      </c>
      <c r="N101" s="6">
        <f ca="1">BlackScholes(OptType,"Delta",K101,Strike,time-G101,0,sigma,interestRate,dividend)*IF(Side="Short",-1,1)*units*optMult</f>
        <v>4360.3535321923791</v>
      </c>
      <c r="O101" s="6">
        <f ca="1">K101*EXP((interestRate-dividend)*(time-G101))</f>
        <v>116.49942170063066</v>
      </c>
      <c r="P101" s="19">
        <f>EXP((interestRate-dividend)*(time-G101))*futMult</f>
        <v>250</v>
      </c>
      <c r="Q101">
        <f t="shared" ca="1" si="11"/>
        <v>-17.441414128769516</v>
      </c>
      <c r="R101" s="32">
        <f t="shared" ca="1" si="15"/>
        <v>-0.31317054737232652</v>
      </c>
      <c r="S101" s="17">
        <f t="shared" ca="1" si="16"/>
        <v>-17.441414128769516</v>
      </c>
      <c r="T101" s="24">
        <f t="shared" ca="1" si="17"/>
        <v>-1343.5781900766451</v>
      </c>
      <c r="U101" s="24">
        <f t="shared" ca="1" si="18"/>
        <v>-1561.8144388937851</v>
      </c>
      <c r="V101" s="24">
        <f ca="1">S100*(O101-O100)*futMult</f>
        <v>1561.8144388937851</v>
      </c>
      <c r="W101" s="24">
        <f ca="1">T101+V101</f>
        <v>218.23624881713999</v>
      </c>
      <c r="X101" s="24">
        <f ca="1">X100+T101</f>
        <v>118334.56007214244</v>
      </c>
      <c r="Y101" s="24">
        <f t="shared" ca="1" si="19"/>
        <v>-27475.547787180814</v>
      </c>
      <c r="Z101" s="24"/>
    </row>
    <row r="102" spans="6:26" x14ac:dyDescent="0.25">
      <c r="F102" s="18">
        <f t="shared" si="12"/>
        <v>99</v>
      </c>
      <c r="G102">
        <f t="shared" si="10"/>
        <v>0.39285714285714285</v>
      </c>
      <c r="H102" s="8">
        <v>-2.7504787552872886E-2</v>
      </c>
      <c r="I102" s="8">
        <f ca="1">(interestRate-dividend-0.5*sigma^2)*1/252+sigma*SQRT(1/252)*_xlfn.NORM.S.INV(RAND())</f>
        <v>-1.5848843335781928E-2</v>
      </c>
      <c r="J102" s="27">
        <f t="shared" ca="1" si="13"/>
        <v>114.66759512748963</v>
      </c>
      <c r="K102" s="20">
        <f t="shared" ca="1" si="14"/>
        <v>114.66759512748963</v>
      </c>
      <c r="L102" s="20">
        <f ca="1">BlackScholes(OptType,"Price",K102,Strike,time-G102,0,sigma,interestRate,dividend)</f>
        <v>7.2995060139798849</v>
      </c>
      <c r="M102" s="21">
        <f ca="1">L102*units*optMult*IF(Side="Short",-1,1)</f>
        <v>-72995.06013979885</v>
      </c>
      <c r="N102" s="6">
        <f ca="1">BlackScholes(OptType,"Delta",K102,Strike,time-G102,0,sigma,interestRate,dividend)*IF(Side="Short",-1,1)*units*optMult</f>
        <v>4763.3880230601744</v>
      </c>
      <c r="O102" s="6">
        <f ca="1">K102*EXP((interestRate-dividend)*(time-G102))</f>
        <v>114.66759512748963</v>
      </c>
      <c r="P102" s="19">
        <f>EXP((interestRate-dividend)*(time-G102))*futMult</f>
        <v>250</v>
      </c>
      <c r="Q102">
        <f t="shared" ca="1" si="11"/>
        <v>-19.053552092240697</v>
      </c>
      <c r="R102" s="32">
        <f t="shared" ca="1" si="15"/>
        <v>-1.6121379634711808</v>
      </c>
      <c r="S102" s="17">
        <f t="shared" ca="1" si="16"/>
        <v>-19.053552092240697</v>
      </c>
      <c r="T102" s="24">
        <f t="shared" ca="1" si="17"/>
        <v>-8121.5687376079877</v>
      </c>
      <c r="U102" s="24">
        <f t="shared" ca="1" si="18"/>
        <v>-7987.4114685593486</v>
      </c>
      <c r="V102" s="24">
        <f ca="1">S101*(O102-O101)*futMult</f>
        <v>7987.4114685593486</v>
      </c>
      <c r="W102" s="24">
        <f ca="1">T102+V102</f>
        <v>-134.15726904863914</v>
      </c>
      <c r="X102" s="24">
        <f ca="1">X101+T102</f>
        <v>110212.99133453445</v>
      </c>
      <c r="Y102" s="24">
        <f t="shared" ca="1" si="19"/>
        <v>-19488.136318621466</v>
      </c>
      <c r="Z102" s="24"/>
    </row>
    <row r="103" spans="6:26" x14ac:dyDescent="0.25">
      <c r="F103" s="18">
        <f t="shared" si="12"/>
        <v>100</v>
      </c>
      <c r="G103">
        <f t="shared" si="10"/>
        <v>0.3968253968253968</v>
      </c>
      <c r="H103" s="8">
        <v>2.9911714449570359E-2</v>
      </c>
      <c r="I103" s="8">
        <f ca="1">(interestRate-dividend-0.5*sigma^2)*1/252+sigma*SQRT(1/252)*_xlfn.NORM.S.INV(RAND())</f>
        <v>1.1019782977585778E-2</v>
      </c>
      <c r="J103" s="27">
        <f t="shared" ca="1" si="13"/>
        <v>115.93819515062728</v>
      </c>
      <c r="K103" s="20">
        <f t="shared" ca="1" si="14"/>
        <v>115.93819515062728</v>
      </c>
      <c r="L103" s="20">
        <f ca="1">BlackScholes(OptType,"Price",K103,Strike,time-G103,0,sigma,interestRate,dividend)</f>
        <v>6.6887652789568204</v>
      </c>
      <c r="M103" s="21">
        <f ca="1">L103*units*optMult*IF(Side="Short",-1,1)</f>
        <v>-66887.652789568194</v>
      </c>
      <c r="N103" s="6">
        <f ca="1">BlackScholes(OptType,"Delta",K103,Strike,time-G103,0,sigma,interestRate,dividend)*IF(Side="Short",-1,1)*units*optMult</f>
        <v>4482.9368019463482</v>
      </c>
      <c r="O103" s="6">
        <f ca="1">K103*EXP((interestRate-dividend)*(time-G103))</f>
        <v>115.93819515062728</v>
      </c>
      <c r="P103" s="19">
        <f>EXP((interestRate-dividend)*(time-G103))*futMult</f>
        <v>250</v>
      </c>
      <c r="Q103">
        <f t="shared" ca="1" si="11"/>
        <v>-17.931747207785392</v>
      </c>
      <c r="R103" s="32">
        <f t="shared" ca="1" si="15"/>
        <v>1.1218048844553046</v>
      </c>
      <c r="S103" s="17">
        <f t="shared" ca="1" si="16"/>
        <v>-17.931747207785392</v>
      </c>
      <c r="T103" s="24">
        <f t="shared" ca="1" si="17"/>
        <v>6107.4073502306564</v>
      </c>
      <c r="U103" s="24">
        <f t="shared" ca="1" si="18"/>
        <v>6052.3609323138453</v>
      </c>
      <c r="V103" s="24">
        <f ca="1">S102*(O103-O102)*futMult</f>
        <v>-6052.3609323138453</v>
      </c>
      <c r="W103" s="24">
        <f ca="1">T103+V103</f>
        <v>55.046417916811151</v>
      </c>
      <c r="X103" s="24">
        <f ca="1">X102+T103</f>
        <v>116320.39868476511</v>
      </c>
      <c r="Y103" s="24">
        <f t="shared" ca="1" si="19"/>
        <v>-25540.49725093531</v>
      </c>
      <c r="Z103" s="24"/>
    </row>
    <row r="104" spans="6:26" x14ac:dyDescent="0.25">
      <c r="F104" s="18">
        <f t="shared" si="12"/>
        <v>101</v>
      </c>
      <c r="G104">
        <f t="shared" si="10"/>
        <v>0.40079365079365081</v>
      </c>
      <c r="H104" s="8">
        <v>-1.940617725272783E-3</v>
      </c>
      <c r="I104" s="8">
        <f ca="1">(interestRate-dividend-0.5*sigma^2)*1/252+sigma*SQRT(1/252)*_xlfn.NORM.S.INV(RAND())</f>
        <v>-8.8735314114867601E-3</v>
      </c>
      <c r="J104" s="27">
        <f t="shared" ca="1" si="13"/>
        <v>114.91396492432091</v>
      </c>
      <c r="K104" s="20">
        <f t="shared" ca="1" si="14"/>
        <v>114.91396492432091</v>
      </c>
      <c r="L104" s="20">
        <f ca="1">BlackScholes(OptType,"Price",K104,Strike,time-G104,0,sigma,interestRate,dividend)</f>
        <v>7.1361021042212514</v>
      </c>
      <c r="M104" s="21">
        <f ca="1">L104*units*optMult*IF(Side="Short",-1,1)</f>
        <v>-71361.021042212524</v>
      </c>
      <c r="N104" s="6">
        <f ca="1">BlackScholes(OptType,"Delta",K104,Strike,time-G104,0,sigma,interestRate,dividend)*IF(Side="Short",-1,1)*units*optMult</f>
        <v>4710.7245949217768</v>
      </c>
      <c r="O104" s="6">
        <f ca="1">K104*EXP((interestRate-dividend)*(time-G104))</f>
        <v>114.91396492432091</v>
      </c>
      <c r="P104" s="19">
        <f>EXP((interestRate-dividend)*(time-G104))*futMult</f>
        <v>250</v>
      </c>
      <c r="Q104">
        <f t="shared" ca="1" si="11"/>
        <v>-18.842898379687107</v>
      </c>
      <c r="R104" s="32">
        <f t="shared" ca="1" si="15"/>
        <v>-0.91115117190171446</v>
      </c>
      <c r="S104" s="17">
        <f t="shared" ca="1" si="16"/>
        <v>-18.842898379687107</v>
      </c>
      <c r="T104" s="24">
        <f t="shared" ca="1" si="17"/>
        <v>-4473.3682526443299</v>
      </c>
      <c r="U104" s="24">
        <f t="shared" ca="1" si="18"/>
        <v>-4591.5593751746719</v>
      </c>
      <c r="V104" s="24">
        <f ca="1">S103*(O104-O103)*futMult</f>
        <v>4591.5593751746719</v>
      </c>
      <c r="W104" s="24">
        <f ca="1">T104+V104</f>
        <v>118.191122530342</v>
      </c>
      <c r="X104" s="24">
        <f ca="1">X103+T104</f>
        <v>111847.03043212078</v>
      </c>
      <c r="Y104" s="24">
        <f t="shared" ca="1" si="19"/>
        <v>-20948.937875760639</v>
      </c>
      <c r="Z104" s="24"/>
    </row>
    <row r="105" spans="6:26" x14ac:dyDescent="0.25">
      <c r="F105" s="18">
        <f t="shared" si="12"/>
        <v>102</v>
      </c>
      <c r="G105">
        <f t="shared" si="10"/>
        <v>0.40476190476190477</v>
      </c>
      <c r="H105" s="8">
        <v>-2.2790770335740767E-2</v>
      </c>
      <c r="I105" s="8">
        <f ca="1">(interestRate-dividend-0.5*sigma^2)*1/252+sigma*SQRT(1/252)*_xlfn.NORM.S.INV(RAND())</f>
        <v>-7.4057805921542144E-3</v>
      </c>
      <c r="J105" s="27">
        <f t="shared" ca="1" si="13"/>
        <v>114.06608081019684</v>
      </c>
      <c r="K105" s="20">
        <f t="shared" ca="1" si="14"/>
        <v>114.06608081019684</v>
      </c>
      <c r="L105" s="20">
        <f ca="1">BlackScholes(OptType,"Price",K105,Strike,time-G105,0,sigma,interestRate,dividend)</f>
        <v>7.5202241533094778</v>
      </c>
      <c r="M105" s="21">
        <f ca="1">L105*units*optMult*IF(Side="Short",-1,1)</f>
        <v>-75202.24153309477</v>
      </c>
      <c r="N105" s="6">
        <f ca="1">BlackScholes(OptType,"Delta",K105,Strike,time-G105,0,sigma,interestRate,dividend)*IF(Side="Short",-1,1)*units*optMult</f>
        <v>4903.0407492253298</v>
      </c>
      <c r="O105" s="6">
        <f ca="1">K105*EXP((interestRate-dividend)*(time-G105))</f>
        <v>114.06608081019684</v>
      </c>
      <c r="P105" s="19">
        <f>EXP((interestRate-dividend)*(time-G105))*futMult</f>
        <v>250</v>
      </c>
      <c r="Q105">
        <f t="shared" ca="1" si="11"/>
        <v>-19.612162996901318</v>
      </c>
      <c r="R105" s="32">
        <f t="shared" ca="1" si="15"/>
        <v>-0.76926461721421191</v>
      </c>
      <c r="S105" s="17">
        <f t="shared" ca="1" si="16"/>
        <v>-19.612162996901318</v>
      </c>
      <c r="T105" s="24">
        <f t="shared" ca="1" si="17"/>
        <v>-3841.2204908822459</v>
      </c>
      <c r="U105" s="24">
        <f t="shared" ca="1" si="18"/>
        <v>-3994.1485500477224</v>
      </c>
      <c r="V105" s="24">
        <f ca="1">S104*(O105-O104)*futMult</f>
        <v>3994.1485500477224</v>
      </c>
      <c r="W105" s="24">
        <f ca="1">T105+V105</f>
        <v>152.9280591654765</v>
      </c>
      <c r="X105" s="24">
        <f ca="1">X104+T105</f>
        <v>108005.80994123853</v>
      </c>
      <c r="Y105" s="24">
        <f t="shared" ca="1" si="19"/>
        <v>-16954.789325712918</v>
      </c>
      <c r="Z105" s="24"/>
    </row>
    <row r="106" spans="6:26" x14ac:dyDescent="0.25">
      <c r="F106" s="18">
        <f t="shared" si="12"/>
        <v>103</v>
      </c>
      <c r="G106">
        <f t="shared" si="10"/>
        <v>0.40873015873015872</v>
      </c>
      <c r="H106" s="8">
        <v>-6.2996101638682659E-3</v>
      </c>
      <c r="I106" s="8">
        <f ca="1">(interestRate-dividend-0.5*sigma^2)*1/252+sigma*SQRT(1/252)*_xlfn.NORM.S.INV(RAND())</f>
        <v>-9.8423559300714804E-3</v>
      </c>
      <c r="J106" s="27">
        <f t="shared" ca="1" si="13"/>
        <v>112.94890866480067</v>
      </c>
      <c r="K106" s="20">
        <f t="shared" ca="1" si="14"/>
        <v>112.94890866480067</v>
      </c>
      <c r="L106" s="20">
        <f ca="1">BlackScholes(OptType,"Price",K106,Strike,time-G106,0,sigma,interestRate,dividend)</f>
        <v>8.0589706845359395</v>
      </c>
      <c r="M106" s="21">
        <f ca="1">L106*units*optMult*IF(Side="Short",-1,1)</f>
        <v>-80589.706845359397</v>
      </c>
      <c r="N106" s="6">
        <f ca="1">BlackScholes(OptType,"Delta",K106,Strike,time-G106,0,sigma,interestRate,dividend)*IF(Side="Short",-1,1)*units*optMult</f>
        <v>5160.0430519212814</v>
      </c>
      <c r="O106" s="6">
        <f ca="1">K106*EXP((interestRate-dividend)*(time-G106))</f>
        <v>112.94890866480067</v>
      </c>
      <c r="P106" s="19">
        <f>EXP((interestRate-dividend)*(time-G106))*futMult</f>
        <v>250</v>
      </c>
      <c r="Q106">
        <f t="shared" ca="1" si="11"/>
        <v>-20.640172207685126</v>
      </c>
      <c r="R106" s="32">
        <f t="shared" ca="1" si="15"/>
        <v>-1.0280092107838072</v>
      </c>
      <c r="S106" s="17">
        <f t="shared" ca="1" si="16"/>
        <v>-20.640172207685126</v>
      </c>
      <c r="T106" s="24">
        <f t="shared" ca="1" si="17"/>
        <v>-5387.4653122646268</v>
      </c>
      <c r="U106" s="24">
        <f t="shared" ca="1" si="18"/>
        <v>-5477.5405527768971</v>
      </c>
      <c r="V106" s="24">
        <f ca="1">S105*(O106-O105)*futMult</f>
        <v>5477.5405527768962</v>
      </c>
      <c r="W106" s="24">
        <f ca="1">T106+V106</f>
        <v>90.075240512269374</v>
      </c>
      <c r="X106" s="24">
        <f ca="1">X105+T106</f>
        <v>102618.34462897391</v>
      </c>
      <c r="Y106" s="24">
        <f t="shared" ca="1" si="19"/>
        <v>-11477.248772936022</v>
      </c>
      <c r="Z106" s="24"/>
    </row>
    <row r="107" spans="6:26" x14ac:dyDescent="0.25">
      <c r="F107" s="18">
        <f t="shared" si="12"/>
        <v>104</v>
      </c>
      <c r="G107">
        <f t="shared" si="10"/>
        <v>0.41269841269841268</v>
      </c>
      <c r="H107" s="8">
        <v>1.9978429947949987E-3</v>
      </c>
      <c r="I107" s="8">
        <f ca="1">(interestRate-dividend-0.5*sigma^2)*1/252+sigma*SQRT(1/252)*_xlfn.NORM.S.INV(RAND())</f>
        <v>-1.9712589681870852E-3</v>
      </c>
      <c r="J107" s="27">
        <f t="shared" ca="1" si="13"/>
        <v>112.72647642345194</v>
      </c>
      <c r="K107" s="20">
        <f t="shared" ca="1" si="14"/>
        <v>112.72647642345194</v>
      </c>
      <c r="L107" s="20">
        <f ca="1">BlackScholes(OptType,"Price",K107,Strike,time-G107,0,sigma,interestRate,dividend)</f>
        <v>8.1511003080332856</v>
      </c>
      <c r="M107" s="21">
        <f ca="1">L107*units*optMult*IF(Side="Short",-1,1)</f>
        <v>-81511.003080332855</v>
      </c>
      <c r="N107" s="6">
        <f ca="1">BlackScholes(OptType,"Delta",K107,Strike,time-G107,0,sigma,interestRate,dividend)*IF(Side="Short",-1,1)*units*optMult</f>
        <v>5213.8980490299618</v>
      </c>
      <c r="O107" s="6">
        <f ca="1">K107*EXP((interestRate-dividend)*(time-G107))</f>
        <v>112.72647642345194</v>
      </c>
      <c r="P107" s="19">
        <f>EXP((interestRate-dividend)*(time-G107))*futMult</f>
        <v>250</v>
      </c>
      <c r="Q107">
        <f t="shared" ca="1" si="11"/>
        <v>-20.855592196119847</v>
      </c>
      <c r="R107" s="32">
        <f t="shared" ca="1" si="15"/>
        <v>-0.21541998843472143</v>
      </c>
      <c r="S107" s="17">
        <f t="shared" ca="1" si="16"/>
        <v>-20.855592196119847</v>
      </c>
      <c r="T107" s="24">
        <f t="shared" ca="1" si="17"/>
        <v>-921.29623497345892</v>
      </c>
      <c r="U107" s="24">
        <f t="shared" ca="1" si="18"/>
        <v>-1147.7599414947772</v>
      </c>
      <c r="V107" s="24">
        <f ca="1">S106*(O107-O106)*futMult</f>
        <v>1147.7599414947772</v>
      </c>
      <c r="W107" s="24">
        <f ca="1">T107+V107</f>
        <v>226.46370652131827</v>
      </c>
      <c r="X107" s="24">
        <f ca="1">X106+T107</f>
        <v>101697.04839400045</v>
      </c>
      <c r="Y107" s="24">
        <f t="shared" ca="1" si="19"/>
        <v>-10329.488831441246</v>
      </c>
      <c r="Z107" s="24"/>
    </row>
    <row r="108" spans="6:26" x14ac:dyDescent="0.25">
      <c r="F108" s="18">
        <f t="shared" si="12"/>
        <v>105</v>
      </c>
      <c r="G108">
        <f t="shared" si="10"/>
        <v>0.41666666666666669</v>
      </c>
      <c r="H108" s="8">
        <v>1.8665521342934095E-2</v>
      </c>
      <c r="I108" s="8">
        <f ca="1">(interestRate-dividend-0.5*sigma^2)*1/252+sigma*SQRT(1/252)*_xlfn.NORM.S.INV(RAND())</f>
        <v>-5.2548628332581603E-3</v>
      </c>
      <c r="J108" s="27">
        <f t="shared" ca="1" si="13"/>
        <v>112.13566792051969</v>
      </c>
      <c r="K108" s="20">
        <f t="shared" ca="1" si="14"/>
        <v>112.13566792051969</v>
      </c>
      <c r="L108" s="20">
        <f ca="1">BlackScholes(OptType,"Price",K108,Strike,time-G108,0,sigma,interestRate,dividend)</f>
        <v>8.4400566679870845</v>
      </c>
      <c r="M108" s="21">
        <f ca="1">L108*units*optMult*IF(Side="Short",-1,1)</f>
        <v>-84400.566679870855</v>
      </c>
      <c r="N108" s="6">
        <f ca="1">BlackScholes(OptType,"Delta",K108,Strike,time-G108,0,sigma,interestRate,dividend)*IF(Side="Short",-1,1)*units*optMult</f>
        <v>5353.5766377212749</v>
      </c>
      <c r="O108" s="6">
        <f ca="1">K108*EXP((interestRate-dividend)*(time-G108))</f>
        <v>112.13566792051969</v>
      </c>
      <c r="P108" s="19">
        <f>EXP((interestRate-dividend)*(time-G108))*futMult</f>
        <v>250</v>
      </c>
      <c r="Q108">
        <f t="shared" ca="1" si="11"/>
        <v>-21.414306550885101</v>
      </c>
      <c r="R108" s="32">
        <f t="shared" ca="1" si="15"/>
        <v>-0.55871435476525377</v>
      </c>
      <c r="S108" s="17">
        <f t="shared" ca="1" si="16"/>
        <v>-21.414306550885101</v>
      </c>
      <c r="T108" s="24">
        <f t="shared" ca="1" si="17"/>
        <v>-2889.5635995379998</v>
      </c>
      <c r="U108" s="24">
        <f t="shared" ca="1" si="18"/>
        <v>-3080.4153007887594</v>
      </c>
      <c r="V108" s="24">
        <f ca="1">S107*(O108-O107)*futMult</f>
        <v>3080.4153007887594</v>
      </c>
      <c r="W108" s="24">
        <f ca="1">T108+V108</f>
        <v>190.85170125075956</v>
      </c>
      <c r="X108" s="24">
        <f ca="1">X107+T108</f>
        <v>98807.484794462449</v>
      </c>
      <c r="Y108" s="24">
        <f t="shared" ca="1" si="19"/>
        <v>-7249.0735306524857</v>
      </c>
      <c r="Z108" s="24"/>
    </row>
    <row r="109" spans="6:26" x14ac:dyDescent="0.25">
      <c r="F109" s="18">
        <f t="shared" si="12"/>
        <v>106</v>
      </c>
      <c r="G109">
        <f t="shared" si="10"/>
        <v>0.42063492063492064</v>
      </c>
      <c r="H109" s="8">
        <v>-1.0238728492814269E-2</v>
      </c>
      <c r="I109" s="8">
        <f ca="1">(interestRate-dividend-0.5*sigma^2)*1/252+sigma*SQRT(1/252)*_xlfn.NORM.S.INV(RAND())</f>
        <v>1.6341708069878315E-2</v>
      </c>
      <c r="J109" s="27">
        <f t="shared" ca="1" si="13"/>
        <v>113.98321116046324</v>
      </c>
      <c r="K109" s="20">
        <f t="shared" ca="1" si="14"/>
        <v>113.98321116046324</v>
      </c>
      <c r="L109" s="20">
        <f ca="1">BlackScholes(OptType,"Price",K109,Strike,time-G109,0,sigma,interestRate,dividend)</f>
        <v>7.4667630349541785</v>
      </c>
      <c r="M109" s="21">
        <f ca="1">L109*units*optMult*IF(Side="Short",-1,1)</f>
        <v>-74667.630349541781</v>
      </c>
      <c r="N109" s="6">
        <f ca="1">BlackScholes(OptType,"Delta",K109,Strike,time-G109,0,sigma,interestRate,dividend)*IF(Side="Short",-1,1)*units*optMult</f>
        <v>4929.0808643879227</v>
      </c>
      <c r="O109" s="6">
        <f ca="1">K109*EXP((interestRate-dividend)*(time-G109))</f>
        <v>113.98321116046324</v>
      </c>
      <c r="P109" s="19">
        <f>EXP((interestRate-dividend)*(time-G109))*futMult</f>
        <v>250</v>
      </c>
      <c r="Q109">
        <f t="shared" ca="1" si="11"/>
        <v>-19.716323457551692</v>
      </c>
      <c r="R109" s="32">
        <f t="shared" ca="1" si="15"/>
        <v>1.6979830933334092</v>
      </c>
      <c r="S109" s="17">
        <f t="shared" ca="1" si="16"/>
        <v>-19.716323457551692</v>
      </c>
      <c r="T109" s="24">
        <f t="shared" ca="1" si="17"/>
        <v>9732.9363303290738</v>
      </c>
      <c r="U109" s="24">
        <f t="shared" ca="1" si="18"/>
        <v>9890.9643265416489</v>
      </c>
      <c r="V109" s="24">
        <f ca="1">S108*(O109-O108)*futMult</f>
        <v>-9890.9643265416489</v>
      </c>
      <c r="W109" s="24">
        <f ca="1">T109+V109</f>
        <v>-158.02799621257509</v>
      </c>
      <c r="X109" s="24">
        <f ca="1">X108+T109</f>
        <v>108540.42112479152</v>
      </c>
      <c r="Y109" s="24">
        <f t="shared" ca="1" si="19"/>
        <v>-17140.037857194133</v>
      </c>
      <c r="Z109" s="24"/>
    </row>
    <row r="110" spans="6:26" x14ac:dyDescent="0.25">
      <c r="F110" s="18">
        <f t="shared" si="12"/>
        <v>107</v>
      </c>
      <c r="G110">
        <f t="shared" si="10"/>
        <v>0.42460317460317459</v>
      </c>
      <c r="H110" s="8">
        <v>-3.6084659572442335E-3</v>
      </c>
      <c r="I110" s="8">
        <f ca="1">(interestRate-dividend-0.5*sigma^2)*1/252+sigma*SQRT(1/252)*_xlfn.NORM.S.INV(RAND())</f>
        <v>3.6498129637475775E-3</v>
      </c>
      <c r="J110" s="27">
        <f t="shared" ca="1" si="13"/>
        <v>114.39998867953999</v>
      </c>
      <c r="K110" s="20">
        <f t="shared" ca="1" si="14"/>
        <v>114.39998867953999</v>
      </c>
      <c r="L110" s="20">
        <f ca="1">BlackScholes(OptType,"Price",K110,Strike,time-G110,0,sigma,interestRate,dividend)</f>
        <v>7.2395098746542654</v>
      </c>
      <c r="M110" s="21">
        <f ca="1">L110*units*optMult*IF(Side="Short",-1,1)</f>
        <v>-72395.098746542659</v>
      </c>
      <c r="N110" s="6">
        <f ca="1">BlackScholes(OptType,"Delta",K110,Strike,time-G110,0,sigma,interestRate,dividend)*IF(Side="Short",-1,1)*units*optMult</f>
        <v>4834.9901305125713</v>
      </c>
      <c r="O110" s="6">
        <f ca="1">K110*EXP((interestRate-dividend)*(time-G110))</f>
        <v>114.39998867953999</v>
      </c>
      <c r="P110" s="19">
        <f>EXP((interestRate-dividend)*(time-G110))*futMult</f>
        <v>250</v>
      </c>
      <c r="Q110">
        <f t="shared" ca="1" si="11"/>
        <v>-19.339960522050287</v>
      </c>
      <c r="R110" s="32">
        <f t="shared" ca="1" si="15"/>
        <v>0.37636293550140465</v>
      </c>
      <c r="S110" s="17">
        <f t="shared" ca="1" si="16"/>
        <v>-19.339960522050287</v>
      </c>
      <c r="T110" s="24">
        <f t="shared" ca="1" si="17"/>
        <v>2272.5316029991227</v>
      </c>
      <c r="U110" s="24">
        <f t="shared" ca="1" si="18"/>
        <v>2054.3300939882602</v>
      </c>
      <c r="V110" s="24">
        <f ca="1">S109*(O110-O109)*futMult</f>
        <v>-2054.3300939882602</v>
      </c>
      <c r="W110" s="24">
        <f ca="1">T110+V110</f>
        <v>218.20150901086254</v>
      </c>
      <c r="X110" s="24">
        <f ca="1">X109+T110</f>
        <v>110812.95272779065</v>
      </c>
      <c r="Y110" s="24">
        <f t="shared" ca="1" si="19"/>
        <v>-19194.367951182394</v>
      </c>
      <c r="Z110" s="24"/>
    </row>
    <row r="111" spans="6:26" x14ac:dyDescent="0.25">
      <c r="F111" s="18">
        <f t="shared" si="12"/>
        <v>108</v>
      </c>
      <c r="G111">
        <f t="shared" si="10"/>
        <v>0.42857142857142855</v>
      </c>
      <c r="H111" s="8">
        <v>1.1513648914594147E-3</v>
      </c>
      <c r="I111" s="8">
        <f ca="1">(interestRate-dividend-0.5*sigma^2)*1/252+sigma*SQRT(1/252)*_xlfn.NORM.S.INV(RAND())</f>
        <v>-7.984713781142223E-3</v>
      </c>
      <c r="J111" s="27">
        <f t="shared" ca="1" si="13"/>
        <v>113.49017464949054</v>
      </c>
      <c r="K111" s="20">
        <f t="shared" ca="1" si="14"/>
        <v>113.49017464949054</v>
      </c>
      <c r="L111" s="20">
        <f ca="1">BlackScholes(OptType,"Price",K111,Strike,time-G111,0,sigma,interestRate,dividend)</f>
        <v>7.6652145732421584</v>
      </c>
      <c r="M111" s="21">
        <f ca="1">L111*units*optMult*IF(Side="Short",-1,1)</f>
        <v>-76652.145732421588</v>
      </c>
      <c r="N111" s="6">
        <f ca="1">BlackScholes(OptType,"Delta",K111,Strike,time-G111,0,sigma,interestRate,dividend)*IF(Side="Short",-1,1)*units*optMult</f>
        <v>5047.1611276137746</v>
      </c>
      <c r="O111" s="6">
        <f ca="1">K111*EXP((interestRate-dividend)*(time-G111))</f>
        <v>113.49017464949054</v>
      </c>
      <c r="P111" s="19">
        <f>EXP((interestRate-dividend)*(time-G111))*futMult</f>
        <v>250</v>
      </c>
      <c r="Q111">
        <f t="shared" ca="1" si="11"/>
        <v>-20.188644510455099</v>
      </c>
      <c r="R111" s="32">
        <f t="shared" ca="1" si="15"/>
        <v>-0.84868398840481163</v>
      </c>
      <c r="S111" s="17">
        <f t="shared" ca="1" si="16"/>
        <v>-20.188644510455099</v>
      </c>
      <c r="T111" s="24">
        <f t="shared" ca="1" si="17"/>
        <v>-4257.0469858789293</v>
      </c>
      <c r="U111" s="24">
        <f t="shared" ca="1" si="18"/>
        <v>-4398.941855890941</v>
      </c>
      <c r="V111" s="24">
        <f ca="1">S110*(O111-O110)*futMult</f>
        <v>4398.941855890942</v>
      </c>
      <c r="W111" s="24">
        <f ca="1">T111+V111</f>
        <v>141.89487001201269</v>
      </c>
      <c r="X111" s="24">
        <f ca="1">X110+T111</f>
        <v>106555.90574191172</v>
      </c>
      <c r="Y111" s="24">
        <f t="shared" ca="1" si="19"/>
        <v>-14795.426095291452</v>
      </c>
      <c r="Z111" s="24"/>
    </row>
    <row r="112" spans="6:26" x14ac:dyDescent="0.25">
      <c r="F112" s="18">
        <f t="shared" si="12"/>
        <v>109</v>
      </c>
      <c r="G112">
        <f t="shared" si="10"/>
        <v>0.43253968253968256</v>
      </c>
      <c r="H112" s="8">
        <v>2.3063463445751817E-2</v>
      </c>
      <c r="I112" s="8">
        <f ca="1">(interestRate-dividend-0.5*sigma^2)*1/252+sigma*SQRT(1/252)*_xlfn.NORM.S.INV(RAND())</f>
        <v>3.5216926091460676E-4</v>
      </c>
      <c r="J112" s="27">
        <f t="shared" ca="1" si="13"/>
        <v>113.53014943895082</v>
      </c>
      <c r="K112" s="20">
        <f t="shared" ca="1" si="14"/>
        <v>113.53014943895082</v>
      </c>
      <c r="L112" s="20">
        <f ca="1">BlackScholes(OptType,"Price",K112,Strike,time-G112,0,sigma,interestRate,dividend)</f>
        <v>7.6212408896809203</v>
      </c>
      <c r="M112" s="21">
        <f ca="1">L112*units*optMult*IF(Side="Short",-1,1)</f>
        <v>-76212.408896809196</v>
      </c>
      <c r="N112" s="6">
        <f ca="1">BlackScholes(OptType,"Delta",K112,Strike,time-G112,0,sigma,interestRate,dividend)*IF(Side="Short",-1,1)*units*optMult</f>
        <v>5040.1024057294762</v>
      </c>
      <c r="O112" s="6">
        <f ca="1">K112*EXP((interestRate-dividend)*(time-G112))</f>
        <v>113.53014943895082</v>
      </c>
      <c r="P112" s="19">
        <f>EXP((interestRate-dividend)*(time-G112))*futMult</f>
        <v>250</v>
      </c>
      <c r="Q112">
        <f t="shared" ca="1" si="11"/>
        <v>-20.160409622917904</v>
      </c>
      <c r="R112" s="32">
        <f t="shared" ca="1" si="15"/>
        <v>2.8234887537195164E-2</v>
      </c>
      <c r="S112" s="17">
        <f t="shared" ca="1" si="16"/>
        <v>-20.160409622917904</v>
      </c>
      <c r="T112" s="24">
        <f t="shared" ca="1" si="17"/>
        <v>439.73683561239159</v>
      </c>
      <c r="U112" s="24">
        <f t="shared" ca="1" si="18"/>
        <v>201.75920344843973</v>
      </c>
      <c r="V112" s="24">
        <f ca="1">S111*(O112-O111)*futMult</f>
        <v>-201.75920344843973</v>
      </c>
      <c r="W112" s="24">
        <f ca="1">T112+V112</f>
        <v>237.97763216395185</v>
      </c>
      <c r="X112" s="24">
        <f ca="1">X111+T112</f>
        <v>106995.64257752411</v>
      </c>
      <c r="Y112" s="24">
        <f t="shared" ca="1" si="19"/>
        <v>-14997.185298739892</v>
      </c>
      <c r="Z112" s="24"/>
    </row>
    <row r="113" spans="6:26" x14ac:dyDescent="0.25">
      <c r="F113" s="18">
        <f t="shared" si="12"/>
        <v>110</v>
      </c>
      <c r="G113">
        <f t="shared" si="10"/>
        <v>0.43650793650793651</v>
      </c>
      <c r="H113" s="8">
        <v>-1.3968650416611701E-3</v>
      </c>
      <c r="I113" s="8">
        <f ca="1">(interestRate-dividend-0.5*sigma^2)*1/252+sigma*SQRT(1/252)*_xlfn.NORM.S.INV(RAND())</f>
        <v>-6.4541377749736473E-3</v>
      </c>
      <c r="J113" s="27">
        <f t="shared" ca="1" si="13"/>
        <v>112.79976973386404</v>
      </c>
      <c r="K113" s="20">
        <f t="shared" ca="1" si="14"/>
        <v>112.79976973386404</v>
      </c>
      <c r="L113" s="20">
        <f ca="1">BlackScholes(OptType,"Price",K113,Strike,time-G113,0,sigma,interestRate,dividend)</f>
        <v>7.9718785887627295</v>
      </c>
      <c r="M113" s="21">
        <f ca="1">L113*units*optMult*IF(Side="Short",-1,1)</f>
        <v>-79718.785887627295</v>
      </c>
      <c r="N113" s="6">
        <f ca="1">BlackScholes(OptType,"Delta",K113,Strike,time-G113,0,sigma,interestRate,dividend)*IF(Side="Short",-1,1)*units*optMult</f>
        <v>5213.7546668608629</v>
      </c>
      <c r="O113" s="6">
        <f ca="1">K113*EXP((interestRate-dividend)*(time-G113))</f>
        <v>112.79976973386404</v>
      </c>
      <c r="P113" s="19">
        <f>EXP((interestRate-dividend)*(time-G113))*futMult</f>
        <v>250</v>
      </c>
      <c r="Q113">
        <f t="shared" ca="1" si="11"/>
        <v>-20.855018667443453</v>
      </c>
      <c r="R113" s="32">
        <f t="shared" ca="1" si="15"/>
        <v>-0.69460904452554928</v>
      </c>
      <c r="S113" s="17">
        <f t="shared" ca="1" si="16"/>
        <v>-20.855018667443453</v>
      </c>
      <c r="T113" s="24">
        <f t="shared" ca="1" si="17"/>
        <v>-3506.3769908180984</v>
      </c>
      <c r="U113" s="24">
        <f t="shared" ca="1" si="18"/>
        <v>-3681.1885087038436</v>
      </c>
      <c r="V113" s="24">
        <f ca="1">S112*(O113-O112)*futMult</f>
        <v>3681.1885087038436</v>
      </c>
      <c r="W113" s="24">
        <f ca="1">T113+V113</f>
        <v>174.81151788574516</v>
      </c>
      <c r="X113" s="24">
        <f ca="1">X112+T113</f>
        <v>103489.26558670601</v>
      </c>
      <c r="Y113" s="24">
        <f t="shared" ca="1" si="19"/>
        <v>-11315.99679003605</v>
      </c>
      <c r="Z113" s="24"/>
    </row>
    <row r="114" spans="6:26" x14ac:dyDescent="0.25">
      <c r="F114" s="18">
        <f t="shared" si="12"/>
        <v>111</v>
      </c>
      <c r="G114">
        <f t="shared" si="10"/>
        <v>0.44047619047619047</v>
      </c>
      <c r="H114" s="8">
        <v>1.0967054623613189E-2</v>
      </c>
      <c r="I114" s="8">
        <f ca="1">(interestRate-dividend-0.5*sigma^2)*1/252+sigma*SQRT(1/252)*_xlfn.NORM.S.INV(RAND())</f>
        <v>-4.8272573696572143E-3</v>
      </c>
      <c r="J114" s="27">
        <f t="shared" ca="1" si="13"/>
        <v>112.25656835537423</v>
      </c>
      <c r="K114" s="20">
        <f t="shared" ca="1" si="14"/>
        <v>112.25656835537423</v>
      </c>
      <c r="L114" s="20">
        <f ca="1">BlackScholes(OptType,"Price",K114,Strike,time-G114,0,sigma,interestRate,dividend)</f>
        <v>8.2349360386781623</v>
      </c>
      <c r="M114" s="21">
        <f ca="1">L114*units*optMult*IF(Side="Short",-1,1)</f>
        <v>-82349.360386781627</v>
      </c>
      <c r="N114" s="6">
        <f ca="1">BlackScholes(OptType,"Delta",K114,Strike,time-G114,0,sigma,interestRate,dividend)*IF(Side="Short",-1,1)*units*optMult</f>
        <v>5345.026701348168</v>
      </c>
      <c r="O114" s="6">
        <f ca="1">K114*EXP((interestRate-dividend)*(time-G114))</f>
        <v>112.25656835537423</v>
      </c>
      <c r="P114" s="19">
        <f>EXP((interestRate-dividend)*(time-G114))*futMult</f>
        <v>250</v>
      </c>
      <c r="Q114">
        <f t="shared" ca="1" si="11"/>
        <v>-21.380106805392671</v>
      </c>
      <c r="R114" s="32">
        <f t="shared" ca="1" si="15"/>
        <v>-0.52508813794921849</v>
      </c>
      <c r="S114" s="17">
        <f t="shared" ca="1" si="16"/>
        <v>-21.380106805392671</v>
      </c>
      <c r="T114" s="24">
        <f t="shared" ca="1" si="17"/>
        <v>-2630.5744991543324</v>
      </c>
      <c r="U114" s="24">
        <f t="shared" ca="1" si="18"/>
        <v>-2832.1187221465102</v>
      </c>
      <c r="V114" s="24">
        <f ca="1">S113*(O114-O113)*futMult</f>
        <v>2832.1187221465102</v>
      </c>
      <c r="W114" s="24">
        <f ca="1">T114+V114</f>
        <v>201.54422299217777</v>
      </c>
      <c r="X114" s="24">
        <f ca="1">X113+T114</f>
        <v>100858.69108755168</v>
      </c>
      <c r="Y114" s="24">
        <f t="shared" ca="1" si="19"/>
        <v>-8483.87806788954</v>
      </c>
      <c r="Z114" s="24"/>
    </row>
    <row r="115" spans="6:26" x14ac:dyDescent="0.25">
      <c r="F115" s="18">
        <f t="shared" si="12"/>
        <v>112</v>
      </c>
      <c r="G115">
        <f t="shared" si="10"/>
        <v>0.44444444444444442</v>
      </c>
      <c r="H115" s="8">
        <v>-9.221548336563061E-4</v>
      </c>
      <c r="I115" s="8">
        <f ca="1">(interestRate-dividend-0.5*sigma^2)*1/252+sigma*SQRT(1/252)*_xlfn.NORM.S.INV(RAND())</f>
        <v>-3.5276811273501794E-3</v>
      </c>
      <c r="J115" s="27">
        <f t="shared" ca="1" si="13"/>
        <v>111.8612606474878</v>
      </c>
      <c r="K115" s="20">
        <f t="shared" ca="1" si="14"/>
        <v>111.8612606474878</v>
      </c>
      <c r="L115" s="20">
        <f ca="1">BlackScholes(OptType,"Price",K115,Strike,time-G115,0,sigma,interestRate,dividend)</f>
        <v>8.4245071689602931</v>
      </c>
      <c r="M115" s="21">
        <f ca="1">L115*units*optMult*IF(Side="Short",-1,1)</f>
        <v>-84245.071689602933</v>
      </c>
      <c r="N115" s="6">
        <f ca="1">BlackScholes(OptType,"Delta",K115,Strike,time-G115,0,sigma,interestRate,dividend)*IF(Side="Short",-1,1)*units*optMult</f>
        <v>5442.310710860701</v>
      </c>
      <c r="O115" s="6">
        <f ca="1">K115*EXP((interestRate-dividend)*(time-G115))</f>
        <v>111.8612606474878</v>
      </c>
      <c r="P115" s="19">
        <f>EXP((interestRate-dividend)*(time-G115))*futMult</f>
        <v>250</v>
      </c>
      <c r="Q115">
        <f t="shared" ca="1" si="11"/>
        <v>-21.769242843442804</v>
      </c>
      <c r="R115" s="32">
        <f t="shared" ca="1" si="15"/>
        <v>-0.38913603805013253</v>
      </c>
      <c r="S115" s="17">
        <f t="shared" ca="1" si="16"/>
        <v>-21.769242843442804</v>
      </c>
      <c r="T115" s="24">
        <f t="shared" ca="1" si="17"/>
        <v>-1895.7113028213062</v>
      </c>
      <c r="U115" s="24">
        <f t="shared" ca="1" si="18"/>
        <v>-2112.9302539017158</v>
      </c>
      <c r="V115" s="24">
        <f ca="1">S114*(O115-O114)*futMult</f>
        <v>2112.9302539017162</v>
      </c>
      <c r="W115" s="24">
        <f ca="1">T115+V115</f>
        <v>217.21895108041008</v>
      </c>
      <c r="X115" s="24">
        <f ca="1">X114+T115</f>
        <v>98962.979784730371</v>
      </c>
      <c r="Y115" s="24">
        <f t="shared" ca="1" si="19"/>
        <v>-6370.9478139878238</v>
      </c>
      <c r="Z115" s="24"/>
    </row>
    <row r="116" spans="6:26" x14ac:dyDescent="0.25">
      <c r="F116" s="18">
        <f t="shared" si="12"/>
        <v>113</v>
      </c>
      <c r="G116">
        <f t="shared" si="10"/>
        <v>0.44841269841269843</v>
      </c>
      <c r="H116" s="8">
        <v>-7.6884634643584475E-5</v>
      </c>
      <c r="I116" s="8">
        <f ca="1">(interestRate-dividend-0.5*sigma^2)*1/252+sigma*SQRT(1/252)*_xlfn.NORM.S.INV(RAND())</f>
        <v>5.7979884824437139E-3</v>
      </c>
      <c r="J116" s="27">
        <f t="shared" ca="1" si="13"/>
        <v>112.51171478898976</v>
      </c>
      <c r="K116" s="20">
        <f t="shared" ca="1" si="14"/>
        <v>112.51171478898976</v>
      </c>
      <c r="L116" s="20">
        <f ca="1">BlackScholes(OptType,"Price",K116,Strike,time-G116,0,sigma,interestRate,dividend)</f>
        <v>8.0516597821381808</v>
      </c>
      <c r="M116" s="21">
        <f ca="1">L116*units*optMult*IF(Side="Short",-1,1)</f>
        <v>-80516.597821381816</v>
      </c>
      <c r="N116" s="6">
        <f ca="1">BlackScholes(OptType,"Delta",K116,Strike,time-G116,0,sigma,interestRate,dividend)*IF(Side="Short",-1,1)*units*optMult</f>
        <v>5290.9632998140887</v>
      </c>
      <c r="O116" s="6">
        <f ca="1">K116*EXP((interestRate-dividend)*(time-G116))</f>
        <v>112.51171478898976</v>
      </c>
      <c r="P116" s="19">
        <f>EXP((interestRate-dividend)*(time-G116))*futMult</f>
        <v>250</v>
      </c>
      <c r="Q116">
        <f t="shared" ca="1" si="11"/>
        <v>-21.163853199256355</v>
      </c>
      <c r="R116" s="32">
        <f t="shared" ca="1" si="15"/>
        <v>0.60538964418644881</v>
      </c>
      <c r="S116" s="17">
        <f t="shared" ca="1" si="16"/>
        <v>-21.163853199256355</v>
      </c>
      <c r="T116" s="24">
        <f t="shared" ca="1" si="17"/>
        <v>3728.4738682211173</v>
      </c>
      <c r="U116" s="24">
        <f t="shared" ca="1" si="18"/>
        <v>3539.9735412198588</v>
      </c>
      <c r="V116" s="24">
        <f ca="1">S115*(O116-O115)*futMult</f>
        <v>-3539.9735412198588</v>
      </c>
      <c r="W116" s="24">
        <f ca="1">T116+V116</f>
        <v>188.50032700125848</v>
      </c>
      <c r="X116" s="24">
        <f ca="1">X115+T116</f>
        <v>102691.45365295149</v>
      </c>
      <c r="Y116" s="24">
        <f t="shared" ca="1" si="19"/>
        <v>-9910.9213552076835</v>
      </c>
      <c r="Z116" s="24"/>
    </row>
    <row r="117" spans="6:26" x14ac:dyDescent="0.25">
      <c r="F117" s="18">
        <f t="shared" si="12"/>
        <v>114</v>
      </c>
      <c r="G117">
        <f t="shared" si="10"/>
        <v>0.45238095238095238</v>
      </c>
      <c r="H117" s="8">
        <v>1.0174117212724938E-2</v>
      </c>
      <c r="I117" s="8">
        <f ca="1">(interestRate-dividend-0.5*sigma^2)*1/252+sigma*SQRT(1/252)*_xlfn.NORM.S.INV(RAND())</f>
        <v>4.6392941109956263E-3</v>
      </c>
      <c r="J117" s="27">
        <f t="shared" ca="1" si="13"/>
        <v>113.03490239704041</v>
      </c>
      <c r="K117" s="20">
        <f t="shared" ca="1" si="14"/>
        <v>113.03490239704041</v>
      </c>
      <c r="L117" s="20">
        <f ca="1">BlackScholes(OptType,"Price",K117,Strike,time-G117,0,sigma,interestRate,dividend)</f>
        <v>7.7539822625960149</v>
      </c>
      <c r="M117" s="21">
        <f ca="1">L117*units*optMult*IF(Side="Short",-1,1)</f>
        <v>-77539.822625960151</v>
      </c>
      <c r="N117" s="6">
        <f ca="1">BlackScholes(OptType,"Delta",K117,Strike,time-G117,0,sigma,interestRate,dividend)*IF(Side="Short",-1,1)*units*optMult</f>
        <v>5169.3108240788497</v>
      </c>
      <c r="O117" s="6">
        <f ca="1">K117*EXP((interestRate-dividend)*(time-G117))</f>
        <v>113.03490239704041</v>
      </c>
      <c r="P117" s="19">
        <f>EXP((interestRate-dividend)*(time-G117))*futMult</f>
        <v>250</v>
      </c>
      <c r="Q117">
        <f t="shared" ca="1" si="11"/>
        <v>-20.6772432963154</v>
      </c>
      <c r="R117" s="32">
        <f t="shared" ca="1" si="15"/>
        <v>0.48660990294095541</v>
      </c>
      <c r="S117" s="17">
        <f t="shared" ca="1" si="16"/>
        <v>-20.6772432963154</v>
      </c>
      <c r="T117" s="24">
        <f t="shared" ca="1" si="17"/>
        <v>2976.7751954216656</v>
      </c>
      <c r="U117" s="24">
        <f t="shared" ca="1" si="18"/>
        <v>2768.1664331134971</v>
      </c>
      <c r="V117" s="24">
        <f ca="1">S116*(O117-O116)*futMult</f>
        <v>-2768.1664331134975</v>
      </c>
      <c r="W117" s="24">
        <f ca="1">T117+V117</f>
        <v>208.60876230816802</v>
      </c>
      <c r="X117" s="24">
        <f ca="1">X116+T117</f>
        <v>105668.22884837315</v>
      </c>
      <c r="Y117" s="24">
        <f t="shared" ca="1" si="19"/>
        <v>-12679.087788321182</v>
      </c>
      <c r="Z117" s="24"/>
    </row>
    <row r="118" spans="6:26" x14ac:dyDescent="0.25">
      <c r="F118" s="18">
        <f t="shared" si="12"/>
        <v>115</v>
      </c>
      <c r="G118">
        <f t="shared" si="10"/>
        <v>0.45634920634920634</v>
      </c>
      <c r="H118" s="8">
        <v>8.7144870063501096E-3</v>
      </c>
      <c r="I118" s="8">
        <f ca="1">(interestRate-dividend-0.5*sigma^2)*1/252+sigma*SQRT(1/252)*_xlfn.NORM.S.INV(RAND())</f>
        <v>6.2142534287085499E-3</v>
      </c>
      <c r="J118" s="27">
        <f t="shared" ca="1" si="13"/>
        <v>113.73951698613425</v>
      </c>
      <c r="K118" s="20">
        <f t="shared" ca="1" si="14"/>
        <v>113.73951698613425</v>
      </c>
      <c r="L118" s="20">
        <f ca="1">BlackScholes(OptType,"Price",K118,Strike,time-G118,0,sigma,interestRate,dividend)</f>
        <v>7.3712734155285951</v>
      </c>
      <c r="M118" s="21">
        <f ca="1">L118*units*optMult*IF(Side="Short",-1,1)</f>
        <v>-73712.734155285958</v>
      </c>
      <c r="N118" s="6">
        <f ca="1">BlackScholes(OptType,"Delta",K118,Strike,time-G118,0,sigma,interestRate,dividend)*IF(Side="Short",-1,1)*units*optMult</f>
        <v>5004.009763817834</v>
      </c>
      <c r="O118" s="6">
        <f ca="1">K118*EXP((interestRate-dividend)*(time-G118))</f>
        <v>113.73951698613425</v>
      </c>
      <c r="P118" s="19">
        <f>EXP((interestRate-dividend)*(time-G118))*futMult</f>
        <v>250</v>
      </c>
      <c r="Q118">
        <f t="shared" ca="1" si="11"/>
        <v>-20.016039055271335</v>
      </c>
      <c r="R118" s="32">
        <f t="shared" ca="1" si="15"/>
        <v>0.66120424104406439</v>
      </c>
      <c r="S118" s="17">
        <f t="shared" ca="1" si="16"/>
        <v>-20.016039055271335</v>
      </c>
      <c r="T118" s="24">
        <f t="shared" ca="1" si="17"/>
        <v>3827.0884706741926</v>
      </c>
      <c r="U118" s="24">
        <f t="shared" ca="1" si="18"/>
        <v>3642.3718222066386</v>
      </c>
      <c r="V118" s="24">
        <f ca="1">S117*(O118-O117)*futMult</f>
        <v>-3642.3718222066386</v>
      </c>
      <c r="W118" s="24">
        <f ca="1">T118+V118</f>
        <v>184.71664846755402</v>
      </c>
      <c r="X118" s="24">
        <f ca="1">X117+T118</f>
        <v>109495.31731904735</v>
      </c>
      <c r="Y118" s="24">
        <f t="shared" ca="1" si="19"/>
        <v>-16321.45961052782</v>
      </c>
      <c r="Z118" s="24"/>
    </row>
    <row r="119" spans="6:26" x14ac:dyDescent="0.25">
      <c r="F119" s="18">
        <f t="shared" si="12"/>
        <v>116</v>
      </c>
      <c r="G119">
        <f t="shared" si="10"/>
        <v>0.46031746031746029</v>
      </c>
      <c r="H119" s="8">
        <v>-2.2277393660510736E-2</v>
      </c>
      <c r="I119" s="8">
        <f ca="1">(interestRate-dividend-0.5*sigma^2)*1/252+sigma*SQRT(1/252)*_xlfn.NORM.S.INV(RAND())</f>
        <v>-2.3086194710574281E-2</v>
      </c>
      <c r="J119" s="27">
        <f t="shared" ca="1" si="13"/>
        <v>111.14378245399685</v>
      </c>
      <c r="K119" s="20">
        <f t="shared" ca="1" si="14"/>
        <v>111.14378245399685</v>
      </c>
      <c r="L119" s="20">
        <f ca="1">BlackScholes(OptType,"Price",K119,Strike,time-G119,0,sigma,interestRate,dividend)</f>
        <v>8.727150386945528</v>
      </c>
      <c r="M119" s="21">
        <f ca="1">L119*units*optMult*IF(Side="Short",-1,1)</f>
        <v>-87271.503869455279</v>
      </c>
      <c r="N119" s="6">
        <f ca="1">BlackScholes(OptType,"Delta",K119,Strike,time-G119,0,sigma,interestRate,dividend)*IF(Side="Short",-1,1)*units*optMult</f>
        <v>5630.3824501767567</v>
      </c>
      <c r="O119" s="6">
        <f ca="1">K119*EXP((interestRate-dividend)*(time-G119))</f>
        <v>111.14378245399685</v>
      </c>
      <c r="P119" s="19">
        <f>EXP((interestRate-dividend)*(time-G119))*futMult</f>
        <v>250</v>
      </c>
      <c r="Q119">
        <f t="shared" ca="1" si="11"/>
        <v>-22.521529800707025</v>
      </c>
      <c r="R119" s="32">
        <f t="shared" ca="1" si="15"/>
        <v>-2.5054907454356901</v>
      </c>
      <c r="S119" s="17">
        <f t="shared" ca="1" si="16"/>
        <v>-22.521529800707025</v>
      </c>
      <c r="T119" s="24">
        <f t="shared" ca="1" si="17"/>
        <v>-13558.769714169321</v>
      </c>
      <c r="U119" s="24">
        <f t="shared" ca="1" si="18"/>
        <v>-12989.080943094663</v>
      </c>
      <c r="V119" s="24">
        <f ca="1">S118*(O119-O118)*futMult</f>
        <v>12989.080943094663</v>
      </c>
      <c r="W119" s="24">
        <f ca="1">T119+V119</f>
        <v>-569.68877107465778</v>
      </c>
      <c r="X119" s="24">
        <f ca="1">X118+T119</f>
        <v>95936.547604878026</v>
      </c>
      <c r="Y119" s="24">
        <f t="shared" ca="1" si="19"/>
        <v>-3332.3786674331568</v>
      </c>
      <c r="Z119" s="24"/>
    </row>
    <row r="120" spans="6:26" x14ac:dyDescent="0.25">
      <c r="F120" s="18">
        <f t="shared" si="12"/>
        <v>117</v>
      </c>
      <c r="G120">
        <f t="shared" si="10"/>
        <v>0.4642857142857143</v>
      </c>
      <c r="H120" s="8">
        <v>1.8535680581409159E-2</v>
      </c>
      <c r="I120" s="8">
        <f ca="1">(interestRate-dividend-0.5*sigma^2)*1/252+sigma*SQRT(1/252)*_xlfn.NORM.S.INV(RAND())</f>
        <v>6.5126559178802692E-3</v>
      </c>
      <c r="J120" s="27">
        <f t="shared" ca="1" si="13"/>
        <v>111.86998585616816</v>
      </c>
      <c r="K120" s="20">
        <f t="shared" ca="1" si="14"/>
        <v>111.86998585616816</v>
      </c>
      <c r="L120" s="20">
        <f ca="1">BlackScholes(OptType,"Price",K120,Strike,time-G120,0,sigma,interestRate,dividend)</f>
        <v>8.3006380875626427</v>
      </c>
      <c r="M120" s="21">
        <f ca="1">L120*units*optMult*IF(Side="Short",-1,1)</f>
        <v>-83006.380875626433</v>
      </c>
      <c r="N120" s="6">
        <f ca="1">BlackScholes(OptType,"Delta",K120,Strike,time-G120,0,sigma,interestRate,dividend)*IF(Side="Short",-1,1)*units*optMult</f>
        <v>5459.0254246400964</v>
      </c>
      <c r="O120" s="6">
        <f ca="1">K120*EXP((interestRate-dividend)*(time-G120))</f>
        <v>111.86998585616816</v>
      </c>
      <c r="P120" s="19">
        <f>EXP((interestRate-dividend)*(time-G120))*futMult</f>
        <v>250</v>
      </c>
      <c r="Q120">
        <f t="shared" ca="1" si="11"/>
        <v>-21.836101698560384</v>
      </c>
      <c r="R120" s="32">
        <f t="shared" ca="1" si="15"/>
        <v>0.68542810214664129</v>
      </c>
      <c r="S120" s="17">
        <f t="shared" ca="1" si="16"/>
        <v>-21.836101698560384</v>
      </c>
      <c r="T120" s="24">
        <f t="shared" ca="1" si="17"/>
        <v>4265.1229938288452</v>
      </c>
      <c r="U120" s="24">
        <f t="shared" ca="1" si="18"/>
        <v>4088.8028908439842</v>
      </c>
      <c r="V120" s="24">
        <f ca="1">S119*(O120-O119)*futMult</f>
        <v>-4088.8028908439837</v>
      </c>
      <c r="W120" s="24">
        <f ca="1">T120+V120</f>
        <v>176.32010298486148</v>
      </c>
      <c r="X120" s="24">
        <f ca="1">X119+T120</f>
        <v>100201.67059870687</v>
      </c>
      <c r="Y120" s="24">
        <f t="shared" ca="1" si="19"/>
        <v>-7421.1815582771405</v>
      </c>
      <c r="Z120" s="24"/>
    </row>
    <row r="121" spans="6:26" x14ac:dyDescent="0.25">
      <c r="F121" s="18">
        <f t="shared" si="12"/>
        <v>118</v>
      </c>
      <c r="G121">
        <f t="shared" si="10"/>
        <v>0.46825396825396826</v>
      </c>
      <c r="H121" s="8">
        <v>-2.0089080953051711E-3</v>
      </c>
      <c r="I121" s="8">
        <f ca="1">(interestRate-dividend-0.5*sigma^2)*1/252+sigma*SQRT(1/252)*_xlfn.NORM.S.INV(RAND())</f>
        <v>-6.7821277066336585E-3</v>
      </c>
      <c r="J121" s="27">
        <f t="shared" ca="1" si="13"/>
        <v>111.11383637512309</v>
      </c>
      <c r="K121" s="20">
        <f t="shared" ca="1" si="14"/>
        <v>111.11383637512309</v>
      </c>
      <c r="L121" s="20">
        <f ca="1">BlackScholes(OptType,"Price",K121,Strike,time-G121,0,sigma,interestRate,dividend)</f>
        <v>8.696579253123673</v>
      </c>
      <c r="M121" s="21">
        <f ca="1">L121*units*optMult*IF(Side="Short",-1,1)</f>
        <v>-86965.79253123673</v>
      </c>
      <c r="N121" s="6">
        <f ca="1">BlackScholes(OptType,"Delta",K121,Strike,time-G121,0,sigma,interestRate,dividend)*IF(Side="Short",-1,1)*units*optMult</f>
        <v>5646.5915214400711</v>
      </c>
      <c r="O121" s="6">
        <f ca="1">K121*EXP((interestRate-dividend)*(time-G121))</f>
        <v>111.11383637512309</v>
      </c>
      <c r="P121" s="19">
        <f>EXP((interestRate-dividend)*(time-G121))*futMult</f>
        <v>250</v>
      </c>
      <c r="Q121">
        <f t="shared" ca="1" si="11"/>
        <v>-22.586366085760286</v>
      </c>
      <c r="R121" s="32">
        <f t="shared" ca="1" si="15"/>
        <v>-0.75026438719990196</v>
      </c>
      <c r="S121" s="17">
        <f t="shared" ca="1" si="16"/>
        <v>-22.586366085760286</v>
      </c>
      <c r="T121" s="24">
        <f t="shared" ca="1" si="17"/>
        <v>-3959.4116556102963</v>
      </c>
      <c r="U121" s="24">
        <f t="shared" ca="1" si="18"/>
        <v>-4127.8392418534577</v>
      </c>
      <c r="V121" s="24">
        <f ca="1">S120*(O121-O120)*futMult</f>
        <v>4127.8392418534568</v>
      </c>
      <c r="W121" s="24">
        <f ca="1">T121+V121</f>
        <v>168.42758624316048</v>
      </c>
      <c r="X121" s="24">
        <f ca="1">X120+T121</f>
        <v>96242.258943096575</v>
      </c>
      <c r="Y121" s="24">
        <f t="shared" ca="1" si="19"/>
        <v>-3293.3423164236838</v>
      </c>
      <c r="Z121" s="24"/>
    </row>
    <row r="122" spans="6:26" x14ac:dyDescent="0.25">
      <c r="F122" s="18">
        <f t="shared" si="12"/>
        <v>119</v>
      </c>
      <c r="G122">
        <f t="shared" si="10"/>
        <v>0.47222222222222221</v>
      </c>
      <c r="H122" s="8">
        <v>-1.1447885077641067E-2</v>
      </c>
      <c r="I122" s="8">
        <f ca="1">(interestRate-dividend-0.5*sigma^2)*1/252+sigma*SQRT(1/252)*_xlfn.NORM.S.INV(RAND())</f>
        <v>-3.53449139542135E-3</v>
      </c>
      <c r="J122" s="27">
        <f t="shared" ca="1" si="13"/>
        <v>110.72179871154893</v>
      </c>
      <c r="K122" s="20">
        <f t="shared" ca="1" si="14"/>
        <v>110.72179871154893</v>
      </c>
      <c r="L122" s="20">
        <f ca="1">BlackScholes(OptType,"Price",K122,Strike,time-G122,0,sigma,interestRate,dividend)</f>
        <v>8.8961512201558754</v>
      </c>
      <c r="M122" s="21">
        <f ca="1">L122*units*optMult*IF(Side="Short",-1,1)</f>
        <v>-88961.512201558755</v>
      </c>
      <c r="N122" s="6">
        <f ca="1">BlackScholes(OptType,"Delta",K122,Strike,time-G122,0,sigma,interestRate,dividend)*IF(Side="Short",-1,1)*units*optMult</f>
        <v>5746.6976164429225</v>
      </c>
      <c r="O122" s="6">
        <f ca="1">K122*EXP((interestRate-dividend)*(time-G122))</f>
        <v>110.72179871154893</v>
      </c>
      <c r="P122" s="19">
        <f>EXP((interestRate-dividend)*(time-G122))*futMult</f>
        <v>250</v>
      </c>
      <c r="Q122">
        <f t="shared" ca="1" si="11"/>
        <v>-22.986790465771691</v>
      </c>
      <c r="R122" s="32">
        <f t="shared" ca="1" si="15"/>
        <v>-0.40042438001140468</v>
      </c>
      <c r="S122" s="17">
        <f t="shared" ca="1" si="16"/>
        <v>-22.986790465771691</v>
      </c>
      <c r="T122" s="24">
        <f t="shared" ca="1" si="17"/>
        <v>-1995.7196703220252</v>
      </c>
      <c r="U122" s="24">
        <f t="shared" ca="1" si="18"/>
        <v>-2213.6765472230131</v>
      </c>
      <c r="V122" s="24">
        <f ca="1">S121*(O122-O121)*futMult</f>
        <v>2213.6765472230136</v>
      </c>
      <c r="W122" s="24">
        <f ca="1">T122+V122</f>
        <v>217.95687690098839</v>
      </c>
      <c r="X122" s="24">
        <f ca="1">X121+T122</f>
        <v>94246.539272774549</v>
      </c>
      <c r="Y122" s="24">
        <f t="shared" ca="1" si="19"/>
        <v>-1079.6657692006702</v>
      </c>
      <c r="Z122" s="24"/>
    </row>
    <row r="123" spans="6:26" x14ac:dyDescent="0.25">
      <c r="F123" s="18">
        <f t="shared" si="12"/>
        <v>120</v>
      </c>
      <c r="G123">
        <f t="shared" si="10"/>
        <v>0.47619047619047616</v>
      </c>
      <c r="H123" s="8">
        <v>1.9554096294467074E-3</v>
      </c>
      <c r="I123" s="8">
        <f ca="1">(interestRate-dividend-0.5*sigma^2)*1/252+sigma*SQRT(1/252)*_xlfn.NORM.S.INV(RAND())</f>
        <v>-6.7804297104390706E-3</v>
      </c>
      <c r="J123" s="27">
        <f t="shared" ca="1" si="13"/>
        <v>109.97359676980778</v>
      </c>
      <c r="K123" s="20">
        <f t="shared" ca="1" si="14"/>
        <v>109.97359676980778</v>
      </c>
      <c r="L123" s="20">
        <f ca="1">BlackScholes(OptType,"Price",K123,Strike,time-G123,0,sigma,interestRate,dividend)</f>
        <v>9.3095812345533115</v>
      </c>
      <c r="M123" s="21">
        <f ca="1">L123*units*optMult*IF(Side="Short",-1,1)</f>
        <v>-93095.812345533108</v>
      </c>
      <c r="N123" s="6">
        <f ca="1">BlackScholes(OptType,"Delta",K123,Strike,time-G123,0,sigma,interestRate,dividend)*IF(Side="Short",-1,1)*units*optMult</f>
        <v>5934.3048586811583</v>
      </c>
      <c r="O123" s="6">
        <f ca="1">K123*EXP((interestRate-dividend)*(time-G123))</f>
        <v>109.97359676980778</v>
      </c>
      <c r="P123" s="19">
        <f>EXP((interestRate-dividend)*(time-G123))*futMult</f>
        <v>250</v>
      </c>
      <c r="Q123">
        <f t="shared" ca="1" si="11"/>
        <v>-23.737219434724633</v>
      </c>
      <c r="R123" s="32">
        <f t="shared" ca="1" si="15"/>
        <v>-0.7504289689529422</v>
      </c>
      <c r="S123" s="17">
        <f t="shared" ca="1" si="16"/>
        <v>-23.737219434724633</v>
      </c>
      <c r="T123" s="24">
        <f t="shared" ca="1" si="17"/>
        <v>-4134.300143974353</v>
      </c>
      <c r="U123" s="24">
        <f t="shared" ca="1" si="18"/>
        <v>-4299.6903152217965</v>
      </c>
      <c r="V123" s="24">
        <f ca="1">S122*(O123-O122)*futMult</f>
        <v>4299.6903152217965</v>
      </c>
      <c r="W123" s="24">
        <f ca="1">T123+V123</f>
        <v>165.3901712474435</v>
      </c>
      <c r="X123" s="24">
        <f ca="1">X122+T123</f>
        <v>90112.239128800196</v>
      </c>
      <c r="Y123" s="24">
        <f t="shared" ca="1" si="19"/>
        <v>3220.0245460211263</v>
      </c>
      <c r="Z123" s="24"/>
    </row>
    <row r="124" spans="6:26" x14ac:dyDescent="0.25">
      <c r="F124" s="18">
        <f t="shared" si="12"/>
        <v>121</v>
      </c>
      <c r="G124">
        <f t="shared" si="10"/>
        <v>0.48015873015873017</v>
      </c>
      <c r="H124" s="8">
        <v>-4.4146792365797874E-3</v>
      </c>
      <c r="I124" s="8">
        <f ca="1">(interestRate-dividend-0.5*sigma^2)*1/252+sigma*SQRT(1/252)*_xlfn.NORM.S.INV(RAND())</f>
        <v>8.497250837555384E-3</v>
      </c>
      <c r="J124" s="27">
        <f t="shared" ca="1" si="13"/>
        <v>110.91205150308481</v>
      </c>
      <c r="K124" s="20">
        <f t="shared" ca="1" si="14"/>
        <v>110.91205150308481</v>
      </c>
      <c r="L124" s="20">
        <f ca="1">BlackScholes(OptType,"Price",K124,Strike,time-G124,0,sigma,interestRate,dividend)</f>
        <v>8.7394980326614391</v>
      </c>
      <c r="M124" s="21">
        <f ca="1">L124*units*optMult*IF(Side="Short",-1,1)</f>
        <v>-87394.980326614386</v>
      </c>
      <c r="N124" s="6">
        <f ca="1">BlackScholes(OptType,"Delta",K124,Strike,time-G124,0,sigma,interestRate,dividend)*IF(Side="Short",-1,1)*units*optMult</f>
        <v>5709.9286282679632</v>
      </c>
      <c r="O124" s="6">
        <f ca="1">K124*EXP((interestRate-dividend)*(time-G124))</f>
        <v>110.91205150308481</v>
      </c>
      <c r="P124" s="19">
        <f>EXP((interestRate-dividend)*(time-G124))*futMult</f>
        <v>250</v>
      </c>
      <c r="Q124">
        <f t="shared" ca="1" si="11"/>
        <v>-22.839714513071854</v>
      </c>
      <c r="R124" s="32">
        <f t="shared" ca="1" si="15"/>
        <v>0.89750492165277862</v>
      </c>
      <c r="S124" s="17">
        <f t="shared" ca="1" si="16"/>
        <v>-22.839714513071854</v>
      </c>
      <c r="T124" s="24">
        <f t="shared" ca="1" si="17"/>
        <v>5700.8320189187216</v>
      </c>
      <c r="U124" s="24">
        <f t="shared" ca="1" si="18"/>
        <v>5569.0764833381909</v>
      </c>
      <c r="V124" s="24">
        <f ca="1">S123*(O124-O123)*futMult</f>
        <v>-5569.0764833381909</v>
      </c>
      <c r="W124" s="24">
        <f ca="1">T124+V124</f>
        <v>131.7555355805307</v>
      </c>
      <c r="X124" s="24">
        <f ca="1">X123+T124</f>
        <v>95813.071147718918</v>
      </c>
      <c r="Y124" s="24">
        <f t="shared" ca="1" si="19"/>
        <v>-2349.0519373170646</v>
      </c>
      <c r="Z124" s="24"/>
    </row>
    <row r="125" spans="6:26" x14ac:dyDescent="0.25">
      <c r="F125" s="18">
        <f t="shared" si="12"/>
        <v>122</v>
      </c>
      <c r="G125">
        <f t="shared" si="10"/>
        <v>0.48412698412698413</v>
      </c>
      <c r="H125" s="8">
        <v>1.230390804251141E-3</v>
      </c>
      <c r="I125" s="8">
        <f ca="1">(interestRate-dividend-0.5*sigma^2)*1/252+sigma*SQRT(1/252)*_xlfn.NORM.S.INV(RAND())</f>
        <v>6.7718286169953885E-3</v>
      </c>
      <c r="J125" s="27">
        <f t="shared" ca="1" si="13"/>
        <v>111.6656777413271</v>
      </c>
      <c r="K125" s="20">
        <f t="shared" ca="1" si="14"/>
        <v>111.6656777413271</v>
      </c>
      <c r="L125" s="20">
        <f ca="1">BlackScholes(OptType,"Price",K125,Strike,time-G125,0,sigma,interestRate,dividend)</f>
        <v>8.2918055162990729</v>
      </c>
      <c r="M125" s="21">
        <f ca="1">L125*units*optMult*IF(Side="Short",-1,1)</f>
        <v>-82918.055162990728</v>
      </c>
      <c r="N125" s="6">
        <f ca="1">BlackScholes(OptType,"Delta",K125,Strike,time-G125,0,sigma,interestRate,dividend)*IF(Side="Short",-1,1)*units*optMult</f>
        <v>5529.0335658122503</v>
      </c>
      <c r="O125" s="6">
        <f ca="1">K125*EXP((interestRate-dividend)*(time-G125))</f>
        <v>111.6656777413271</v>
      </c>
      <c r="P125" s="19">
        <f>EXP((interestRate-dividend)*(time-G125))*futMult</f>
        <v>250</v>
      </c>
      <c r="Q125">
        <f t="shared" ca="1" si="11"/>
        <v>-22.116134263249002</v>
      </c>
      <c r="R125" s="32">
        <f t="shared" ca="1" si="15"/>
        <v>0.72358024982285229</v>
      </c>
      <c r="S125" s="17">
        <f t="shared" ca="1" si="16"/>
        <v>-22.116134263249002</v>
      </c>
      <c r="T125" s="24">
        <f t="shared" ca="1" si="17"/>
        <v>4476.9251636236586</v>
      </c>
      <c r="U125" s="24">
        <f t="shared" ca="1" si="18"/>
        <v>4303.1520327535472</v>
      </c>
      <c r="V125" s="24">
        <f ca="1">S124*(O125-O124)*futMult</f>
        <v>-4303.1520327535472</v>
      </c>
      <c r="W125" s="24">
        <f ca="1">T125+V125</f>
        <v>173.77313087011134</v>
      </c>
      <c r="X125" s="24">
        <f ca="1">X124+T125</f>
        <v>100289.99631134258</v>
      </c>
      <c r="Y125" s="24">
        <f t="shared" ca="1" si="19"/>
        <v>-6652.2039700706118</v>
      </c>
      <c r="Z125" s="24"/>
    </row>
    <row r="126" spans="6:26" x14ac:dyDescent="0.25">
      <c r="F126" s="18">
        <f t="shared" si="12"/>
        <v>123</v>
      </c>
      <c r="G126">
        <f t="shared" si="10"/>
        <v>0.48809523809523808</v>
      </c>
      <c r="H126" s="8">
        <v>-5.8578863362991887E-3</v>
      </c>
      <c r="I126" s="8">
        <f ca="1">(interestRate-dividend-0.5*sigma^2)*1/252+sigma*SQRT(1/252)*_xlfn.NORM.S.INV(RAND())</f>
        <v>2.1496766909231812E-2</v>
      </c>
      <c r="J126" s="27">
        <f t="shared" ca="1" si="13"/>
        <v>114.09211563279895</v>
      </c>
      <c r="K126" s="20">
        <f t="shared" ca="1" si="14"/>
        <v>114.09211563279895</v>
      </c>
      <c r="L126" s="20">
        <f ca="1">BlackScholes(OptType,"Price",K126,Strike,time-G126,0,sigma,interestRate,dividend)</f>
        <v>6.9974222095605922</v>
      </c>
      <c r="M126" s="21">
        <f ca="1">L126*units*optMult*IF(Side="Short",-1,1)</f>
        <v>-69974.222095605917</v>
      </c>
      <c r="N126" s="6">
        <f ca="1">BlackScholes(OptType,"Delta",K126,Strike,time-G126,0,sigma,interestRate,dividend)*IF(Side="Short",-1,1)*units*optMult</f>
        <v>4935.5419565284392</v>
      </c>
      <c r="O126" s="6">
        <f ca="1">K126*EXP((interestRate-dividend)*(time-G126))</f>
        <v>114.09211563279895</v>
      </c>
      <c r="P126" s="19">
        <f>EXP((interestRate-dividend)*(time-G126))*futMult</f>
        <v>250</v>
      </c>
      <c r="Q126">
        <f t="shared" ca="1" si="11"/>
        <v>-19.742167826113757</v>
      </c>
      <c r="R126" s="32">
        <f t="shared" ca="1" si="15"/>
        <v>2.3739664371352447</v>
      </c>
      <c r="S126" s="17">
        <f t="shared" ca="1" si="16"/>
        <v>-19.742167826113757</v>
      </c>
      <c r="T126" s="24">
        <f t="shared" ca="1" si="17"/>
        <v>12943.83306738481</v>
      </c>
      <c r="U126" s="24">
        <f t="shared" ca="1" si="18"/>
        <v>13415.856547306556</v>
      </c>
      <c r="V126" s="24">
        <f ca="1">S125*(O126-O125)*futMult</f>
        <v>-13415.856547306557</v>
      </c>
      <c r="W126" s="24">
        <f ca="1">T126+V126</f>
        <v>-472.02347992174691</v>
      </c>
      <c r="X126" s="24">
        <f ca="1">X125+T126</f>
        <v>113233.82937872739</v>
      </c>
      <c r="Y126" s="24">
        <f t="shared" ca="1" si="19"/>
        <v>-20068.060517377169</v>
      </c>
      <c r="Z126" s="24"/>
    </row>
    <row r="127" spans="6:26" x14ac:dyDescent="0.25">
      <c r="F127" s="18">
        <f t="shared" si="12"/>
        <v>124</v>
      </c>
      <c r="G127">
        <f t="shared" si="10"/>
        <v>0.49206349206349204</v>
      </c>
      <c r="H127" s="8">
        <v>-5.5036765410982841E-3</v>
      </c>
      <c r="I127" s="8">
        <f ca="1">(interestRate-dividend-0.5*sigma^2)*1/252+sigma*SQRT(1/252)*_xlfn.NORM.S.INV(RAND())</f>
        <v>9.62186377867137E-3</v>
      </c>
      <c r="J127" s="27">
        <f t="shared" ca="1" si="13"/>
        <v>115.19519274624874</v>
      </c>
      <c r="K127" s="20">
        <f t="shared" ca="1" si="14"/>
        <v>115.19519274624874</v>
      </c>
      <c r="L127" s="20">
        <f ca="1">BlackScholes(OptType,"Price",K127,Strike,time-G127,0,sigma,interestRate,dividend)</f>
        <v>6.4423499330289928</v>
      </c>
      <c r="M127" s="21">
        <f ca="1">L127*units*optMult*IF(Side="Short",-1,1)</f>
        <v>-64423.499330289931</v>
      </c>
      <c r="N127" s="6">
        <f ca="1">BlackScholes(OptType,"Delta",K127,Strike,time-G127,0,sigma,interestRate,dividend)*IF(Side="Short",-1,1)*units*optMult</f>
        <v>4668.5923325658696</v>
      </c>
      <c r="O127" s="6">
        <f ca="1">K127*EXP((interestRate-dividend)*(time-G127))</f>
        <v>115.19519274624874</v>
      </c>
      <c r="P127" s="19">
        <f>EXP((interestRate-dividend)*(time-G127))*futMult</f>
        <v>250</v>
      </c>
      <c r="Q127">
        <f t="shared" ca="1" si="11"/>
        <v>-18.674369330263477</v>
      </c>
      <c r="R127" s="32">
        <f t="shared" ca="1" si="15"/>
        <v>1.0677984958502797</v>
      </c>
      <c r="S127" s="17">
        <f t="shared" ca="1" si="16"/>
        <v>-18.674369330263477</v>
      </c>
      <c r="T127" s="24">
        <f t="shared" ca="1" si="17"/>
        <v>5550.7227653159862</v>
      </c>
      <c r="U127" s="24">
        <f t="shared" ca="1" si="18"/>
        <v>5444.2833747176974</v>
      </c>
      <c r="V127" s="24">
        <f ca="1">S126*(O127-O126)*futMult</f>
        <v>-5444.2833747176974</v>
      </c>
      <c r="W127" s="24">
        <f ca="1">T127+V127</f>
        <v>106.43939059828881</v>
      </c>
      <c r="X127" s="24">
        <f ca="1">X126+T127</f>
        <v>118784.55214404338</v>
      </c>
      <c r="Y127" s="24">
        <f t="shared" ca="1" si="19"/>
        <v>-25512.343892094868</v>
      </c>
      <c r="Z127" s="24"/>
    </row>
    <row r="128" spans="6:26" x14ac:dyDescent="0.25">
      <c r="F128" s="18">
        <f t="shared" si="12"/>
        <v>125</v>
      </c>
      <c r="G128">
        <f t="shared" si="10"/>
        <v>0.49603174603174605</v>
      </c>
      <c r="H128" s="8">
        <v>-6.6289967843187825E-3</v>
      </c>
      <c r="I128" s="8">
        <f ca="1">(interestRate-dividend-0.5*sigma^2)*1/252+sigma*SQRT(1/252)*_xlfn.NORM.S.INV(RAND())</f>
        <v>-7.4297123738025347E-3</v>
      </c>
      <c r="J128" s="27">
        <f t="shared" ca="1" si="13"/>
        <v>114.34249716120955</v>
      </c>
      <c r="K128" s="20">
        <f t="shared" ca="1" si="14"/>
        <v>114.34249716120955</v>
      </c>
      <c r="L128" s="20">
        <f ca="1">BlackScholes(OptType,"Price",K128,Strike,time-G128,0,sigma,interestRate,dividend)</f>
        <v>6.8238371419554698</v>
      </c>
      <c r="M128" s="21">
        <f ca="1">L128*units*optMult*IF(Side="Short",-1,1)</f>
        <v>-68238.371419554693</v>
      </c>
      <c r="N128" s="6">
        <f ca="1">BlackScholes(OptType,"Delta",K128,Strike,time-G128,0,sigma,interestRate,dividend)*IF(Side="Short",-1,1)*units*optMult</f>
        <v>4877.9171549351904</v>
      </c>
      <c r="O128" s="6">
        <f ca="1">K128*EXP((interestRate-dividend)*(time-G128))</f>
        <v>114.34249716120955</v>
      </c>
      <c r="P128" s="19">
        <f>EXP((interestRate-dividend)*(time-G128))*futMult</f>
        <v>250</v>
      </c>
      <c r="Q128">
        <f t="shared" ca="1" si="11"/>
        <v>-19.51166861974076</v>
      </c>
      <c r="R128" s="32">
        <f t="shared" ca="1" si="15"/>
        <v>-0.83729928947728283</v>
      </c>
      <c r="S128" s="17">
        <f t="shared" ca="1" si="16"/>
        <v>-19.51166861974076</v>
      </c>
      <c r="T128" s="24">
        <f t="shared" ca="1" si="17"/>
        <v>-3814.8720892647616</v>
      </c>
      <c r="U128" s="24">
        <f t="shared" ca="1" si="18"/>
        <v>-3980.8880703267109</v>
      </c>
      <c r="V128" s="24">
        <f ca="1">S127*(O128-O127)*futMult</f>
        <v>3980.8880703267109</v>
      </c>
      <c r="W128" s="24">
        <f ca="1">T128+V128</f>
        <v>166.01598106194933</v>
      </c>
      <c r="X128" s="24">
        <f ca="1">X127+T128</f>
        <v>114969.68005477861</v>
      </c>
      <c r="Y128" s="24">
        <f t="shared" ca="1" si="19"/>
        <v>-21531.455821768159</v>
      </c>
      <c r="Z128" s="24"/>
    </row>
    <row r="129" spans="6:26" x14ac:dyDescent="0.25">
      <c r="F129" s="18">
        <f t="shared" si="12"/>
        <v>126</v>
      </c>
      <c r="G129">
        <f t="shared" si="10"/>
        <v>0.5</v>
      </c>
      <c r="H129" s="8">
        <v>-2.9778252550922068E-3</v>
      </c>
      <c r="I129" s="8">
        <f ca="1">(interestRate-dividend-0.5*sigma^2)*1/252+sigma*SQRT(1/252)*_xlfn.NORM.S.INV(RAND())</f>
        <v>6.2656808108802571E-3</v>
      </c>
      <c r="J129" s="27">
        <f t="shared" ca="1" si="13"/>
        <v>115.06117991870767</v>
      </c>
      <c r="K129" s="20">
        <f t="shared" ca="1" si="14"/>
        <v>115.06117991870767</v>
      </c>
      <c r="L129" s="20">
        <f ca="1">BlackScholes(OptType,"Price",K129,Strike,time-G129,0,sigma,interestRate,dividend)</f>
        <v>6.4539576846018711</v>
      </c>
      <c r="M129" s="21">
        <f ca="1">L129*units*optMult*IF(Side="Short",-1,1)</f>
        <v>-64539.57684601871</v>
      </c>
      <c r="N129" s="6">
        <f ca="1">BlackScholes(OptType,"Delta",K129,Strike,time-G129,0,sigma,interestRate,dividend)*IF(Side="Short",-1,1)*units*optMult</f>
        <v>4703.176165359454</v>
      </c>
      <c r="O129" s="6">
        <f ca="1">K129*EXP((interestRate-dividend)*(time-G129))</f>
        <v>115.06117991870767</v>
      </c>
      <c r="P129" s="19">
        <f>EXP((interestRate-dividend)*(time-G129))*futMult</f>
        <v>250</v>
      </c>
      <c r="Q129">
        <f t="shared" ca="1" si="11"/>
        <v>-18.812704661437817</v>
      </c>
      <c r="R129" s="32">
        <f t="shared" ca="1" si="15"/>
        <v>0.69896395830294367</v>
      </c>
      <c r="S129" s="17">
        <f t="shared" ca="1" si="16"/>
        <v>-18.812704661437817</v>
      </c>
      <c r="T129" s="24">
        <f t="shared" ca="1" si="17"/>
        <v>3698.7945735359826</v>
      </c>
      <c r="U129" s="24">
        <f t="shared" ca="1" si="18"/>
        <v>3505.6749517561834</v>
      </c>
      <c r="V129" s="24">
        <f ca="1">S128*(O129-O128)*futMult</f>
        <v>-3505.674951756183</v>
      </c>
      <c r="W129" s="24">
        <f ca="1">T129+V129</f>
        <v>193.11962177979967</v>
      </c>
      <c r="X129" s="24">
        <f ca="1">X128+T129</f>
        <v>118668.47462831459</v>
      </c>
      <c r="Y129" s="24">
        <f t="shared" ca="1" si="19"/>
        <v>-25037.130773524343</v>
      </c>
      <c r="Z129" s="24"/>
    </row>
    <row r="130" spans="6:26" x14ac:dyDescent="0.25">
      <c r="F130" s="18">
        <f t="shared" si="12"/>
        <v>127</v>
      </c>
      <c r="G130">
        <f t="shared" si="10"/>
        <v>0.50396825396825395</v>
      </c>
      <c r="H130" s="8">
        <v>1.1393022180376826E-2</v>
      </c>
      <c r="I130" s="8">
        <f ca="1">(interestRate-dividend-0.5*sigma^2)*1/252+sigma*SQRT(1/252)*_xlfn.NORM.S.INV(RAND())</f>
        <v>-5.0499246121212173E-3</v>
      </c>
      <c r="J130" s="27">
        <f t="shared" ca="1" si="13"/>
        <v>114.48159429788508</v>
      </c>
      <c r="K130" s="20">
        <f t="shared" ca="1" si="14"/>
        <v>114.48159429788508</v>
      </c>
      <c r="L130" s="20">
        <f ca="1">BlackScholes(OptType,"Price",K130,Strike,time-G130,0,sigma,interestRate,dividend)</f>
        <v>6.7050009338719105</v>
      </c>
      <c r="M130" s="21">
        <f ca="1">L130*units*optMult*IF(Side="Short",-1,1)</f>
        <v>-67050.009338719115</v>
      </c>
      <c r="N130" s="6">
        <f ca="1">BlackScholes(OptType,"Delta",K130,Strike,time-G130,0,sigma,interestRate,dividend)*IF(Side="Short",-1,1)*units*optMult</f>
        <v>4847.0254731485038</v>
      </c>
      <c r="O130" s="6">
        <f ca="1">K130*EXP((interestRate-dividend)*(time-G130))</f>
        <v>114.48159429788508</v>
      </c>
      <c r="P130" s="19">
        <f>EXP((interestRate-dividend)*(time-G130))*futMult</f>
        <v>250</v>
      </c>
      <c r="Q130">
        <f t="shared" ca="1" si="11"/>
        <v>-19.388101892594015</v>
      </c>
      <c r="R130" s="32">
        <f t="shared" ca="1" si="15"/>
        <v>-0.57539723115619879</v>
      </c>
      <c r="S130" s="17">
        <f t="shared" ca="1" si="16"/>
        <v>-19.388101892594015</v>
      </c>
      <c r="T130" s="24">
        <f t="shared" ca="1" si="17"/>
        <v>-2510.4324927004054</v>
      </c>
      <c r="U130" s="24">
        <f t="shared" ca="1" si="18"/>
        <v>-2725.8932776378401</v>
      </c>
      <c r="V130" s="24">
        <f ca="1">S129*(O130-O129)*futMult</f>
        <v>2725.8932776378406</v>
      </c>
      <c r="W130" s="24">
        <f ca="1">T130+V130</f>
        <v>215.46078493743516</v>
      </c>
      <c r="X130" s="24">
        <f ca="1">X129+T130</f>
        <v>116158.04213561419</v>
      </c>
      <c r="Y130" s="24">
        <f t="shared" ca="1" si="19"/>
        <v>-22311.237495886504</v>
      </c>
      <c r="Z130" s="24"/>
    </row>
    <row r="131" spans="6:26" x14ac:dyDescent="0.25">
      <c r="F131" s="18">
        <f t="shared" si="12"/>
        <v>128</v>
      </c>
      <c r="G131">
        <f t="shared" si="10"/>
        <v>0.50793650793650791</v>
      </c>
      <c r="H131" s="8">
        <v>-2.2526905863712718E-3</v>
      </c>
      <c r="I131" s="8">
        <f ca="1">(interestRate-dividend-0.5*sigma^2)*1/252+sigma*SQRT(1/252)*_xlfn.NORM.S.INV(RAND())</f>
        <v>2.687469418658375E-3</v>
      </c>
      <c r="J131" s="27">
        <f t="shared" ca="1" si="13"/>
        <v>114.78967387335354</v>
      </c>
      <c r="K131" s="20">
        <f t="shared" ca="1" si="14"/>
        <v>114.78967387335354</v>
      </c>
      <c r="L131" s="20">
        <f ca="1">BlackScholes(OptType,"Price",K131,Strike,time-G131,0,sigma,interestRate,dividend)</f>
        <v>6.5310340850185025</v>
      </c>
      <c r="M131" s="21">
        <f ca="1">L131*units*optMult*IF(Side="Short",-1,1)</f>
        <v>-65310.340850185028</v>
      </c>
      <c r="N131" s="6">
        <f ca="1">BlackScholes(OptType,"Delta",K131,Strike,time-G131,0,sigma,interestRate,dividend)*IF(Side="Short",-1,1)*units*optMult</f>
        <v>4772.3317145001756</v>
      </c>
      <c r="O131" s="6">
        <f ca="1">K131*EXP((interestRate-dividend)*(time-G131))</f>
        <v>114.78967387335354</v>
      </c>
      <c r="P131" s="19">
        <f>EXP((interestRate-dividend)*(time-G131))*futMult</f>
        <v>250</v>
      </c>
      <c r="Q131">
        <f t="shared" ca="1" si="11"/>
        <v>-19.089326858000703</v>
      </c>
      <c r="R131" s="32">
        <f t="shared" ca="1" si="15"/>
        <v>0.29877503459331223</v>
      </c>
      <c r="S131" s="17">
        <f t="shared" ca="1" si="16"/>
        <v>-19.089326858000703</v>
      </c>
      <c r="T131" s="24">
        <f t="shared" ca="1" si="17"/>
        <v>1739.6684885340874</v>
      </c>
      <c r="U131" s="24">
        <f t="shared" ca="1" si="18"/>
        <v>1493.2695500523755</v>
      </c>
      <c r="V131" s="24">
        <f ca="1">S130*(O131-O130)*futMult</f>
        <v>-1493.2695500523755</v>
      </c>
      <c r="W131" s="24">
        <f ca="1">T131+V131</f>
        <v>246.39893848171187</v>
      </c>
      <c r="X131" s="24">
        <f ca="1">X130+T131</f>
        <v>117897.71062414828</v>
      </c>
      <c r="Y131" s="24">
        <f t="shared" ca="1" si="19"/>
        <v>-23804.507045938881</v>
      </c>
      <c r="Z131" s="24"/>
    </row>
    <row r="132" spans="6:26" x14ac:dyDescent="0.25">
      <c r="F132" s="18">
        <f t="shared" si="12"/>
        <v>129</v>
      </c>
      <c r="G132">
        <f t="shared" ref="G132:G195" si="20">F132/252</f>
        <v>0.51190476190476186</v>
      </c>
      <c r="H132" s="8">
        <v>-1.1104274249692174E-2</v>
      </c>
      <c r="I132" s="8">
        <f ca="1">(interestRate-dividend-0.5*sigma^2)*1/252+sigma*SQRT(1/252)*_xlfn.NORM.S.INV(RAND())</f>
        <v>1.6262640859038119E-3</v>
      </c>
      <c r="J132" s="27">
        <f t="shared" ca="1" si="13"/>
        <v>114.97650407385264</v>
      </c>
      <c r="K132" s="20">
        <f t="shared" ca="1" si="14"/>
        <v>114.97650407385264</v>
      </c>
      <c r="L132" s="20">
        <f ca="1">BlackScholes(OptType,"Price",K132,Strike,time-G132,0,sigma,interestRate,dividend)</f>
        <v>6.4163640589564581</v>
      </c>
      <c r="M132" s="21">
        <f ca="1">L132*units*optMult*IF(Side="Short",-1,1)</f>
        <v>-64163.64058956458</v>
      </c>
      <c r="N132" s="6">
        <f ca="1">BlackScholes(OptType,"Delta",K132,Strike,time-G132,0,sigma,interestRate,dividend)*IF(Side="Short",-1,1)*units*optMult</f>
        <v>4727.3303594108038</v>
      </c>
      <c r="O132" s="6">
        <f ca="1">K132*EXP((interestRate-dividend)*(time-G132))</f>
        <v>114.97650407385264</v>
      </c>
      <c r="P132" s="19">
        <f>EXP((interestRate-dividend)*(time-G132))*futMult</f>
        <v>250</v>
      </c>
      <c r="Q132">
        <f t="shared" ref="Q132:Q195" ca="1" si="21">-N132/P132</f>
        <v>-18.909321437643214</v>
      </c>
      <c r="R132" s="32">
        <f t="shared" ca="1" si="15"/>
        <v>0.18000542035748879</v>
      </c>
      <c r="S132" s="17">
        <f t="shared" ca="1" si="16"/>
        <v>-18.909321437643214</v>
      </c>
      <c r="T132" s="24">
        <f t="shared" ca="1" si="17"/>
        <v>1146.7002606204478</v>
      </c>
      <c r="U132" s="24">
        <f t="shared" ca="1" si="18"/>
        <v>891.61569106829222</v>
      </c>
      <c r="V132" s="24">
        <f ca="1">S131*(O132-O131)*futMult</f>
        <v>-891.61569106829234</v>
      </c>
      <c r="W132" s="24">
        <f ca="1">T132+V132</f>
        <v>255.08456955215547</v>
      </c>
      <c r="X132" s="24">
        <f ca="1">X131+T132</f>
        <v>119044.41088476873</v>
      </c>
      <c r="Y132" s="24">
        <f t="shared" ca="1" si="19"/>
        <v>-24696.122737007172</v>
      </c>
      <c r="Z132" s="24"/>
    </row>
    <row r="133" spans="6:26" x14ac:dyDescent="0.25">
      <c r="F133" s="18">
        <f t="shared" ref="F133:F196" si="22">F132+1</f>
        <v>130</v>
      </c>
      <c r="G133">
        <f t="shared" si="20"/>
        <v>0.51587301587301593</v>
      </c>
      <c r="H133" s="8">
        <v>-1.9678073176606818E-3</v>
      </c>
      <c r="I133" s="8">
        <f ca="1">(interestRate-dividend-0.5*sigma^2)*1/252+sigma*SQRT(1/252)*_xlfn.NORM.S.INV(RAND())</f>
        <v>2.0445123376632436E-2</v>
      </c>
      <c r="J133" s="27">
        <f t="shared" ref="J133:J196" ca="1" si="23">J132*EXP(I133)</f>
        <v>117.35140775863502</v>
      </c>
      <c r="K133" s="20">
        <f t="shared" ref="K133:K196" ca="1" si="24">IF($C$25="BM Theoretical",J133,K132*EXP(H133))</f>
        <v>117.35140775863502</v>
      </c>
      <c r="L133" s="20">
        <f ca="1">BlackScholes(OptType,"Price",K133,Strike,time-G133,0,sigma,interestRate,dividend)</f>
        <v>5.3366660311325349</v>
      </c>
      <c r="M133" s="21">
        <f ca="1">L133*units*optMult*IF(Side="Short",-1,1)</f>
        <v>-53366.660311325344</v>
      </c>
      <c r="N133" s="6">
        <f ca="1">BlackScholes(OptType,"Delta",K133,Strike,time-G133,0,sigma,interestRate,dividend)*IF(Side="Short",-1,1)*units*optMult</f>
        <v>4148.7172836021136</v>
      </c>
      <c r="O133" s="6">
        <f ca="1">K133*EXP((interestRate-dividend)*(time-G133))</f>
        <v>117.35140775863502</v>
      </c>
      <c r="P133" s="19">
        <f>EXP((interestRate-dividend)*(time-G133))*futMult</f>
        <v>250</v>
      </c>
      <c r="Q133">
        <f t="shared" ca="1" si="21"/>
        <v>-16.594869134408455</v>
      </c>
      <c r="R133" s="32">
        <f t="shared" ref="R133:R196" ca="1" si="25">Q133-Q132</f>
        <v>2.3144523032347593</v>
      </c>
      <c r="S133" s="17">
        <f t="shared" ref="S133:S196" ca="1" si="26">S132+R133</f>
        <v>-16.594869134408455</v>
      </c>
      <c r="T133" s="24">
        <f t="shared" ref="T133:T196" ca="1" si="27">M133-M132</f>
        <v>10796.980278239236</v>
      </c>
      <c r="U133" s="24">
        <f t="shared" ref="U133:U196" ca="1" si="28">N132*(K133-K132)</f>
        <v>11226.954289748339</v>
      </c>
      <c r="V133" s="24">
        <f ca="1">S132*(O133-O132)*futMult</f>
        <v>-11226.954289748339</v>
      </c>
      <c r="W133" s="24">
        <f ca="1">T133+V133</f>
        <v>-429.97401150910264</v>
      </c>
      <c r="X133" s="24">
        <f ca="1">X132+T133</f>
        <v>129841.39116300797</v>
      </c>
      <c r="Y133" s="24">
        <f t="shared" ref="Y133:Y196" ca="1" si="29">Y132+V133</f>
        <v>-35923.077026755513</v>
      </c>
      <c r="Z133" s="24"/>
    </row>
    <row r="134" spans="6:26" x14ac:dyDescent="0.25">
      <c r="F134" s="18">
        <f t="shared" si="22"/>
        <v>131</v>
      </c>
      <c r="G134">
        <f t="shared" si="20"/>
        <v>0.51984126984126988</v>
      </c>
      <c r="H134" s="8">
        <v>5.3434041956945495E-3</v>
      </c>
      <c r="I134" s="8">
        <f ca="1">(interestRate-dividend-0.5*sigma^2)*1/252+sigma*SQRT(1/252)*_xlfn.NORM.S.INV(RAND())</f>
        <v>-2.5592178558468789E-2</v>
      </c>
      <c r="J134" s="27">
        <f t="shared" ca="1" si="23"/>
        <v>114.38623404211027</v>
      </c>
      <c r="K134" s="20">
        <f t="shared" ca="1" si="24"/>
        <v>114.38623404211027</v>
      </c>
      <c r="L134" s="20">
        <f ca="1">BlackScholes(OptType,"Price",K134,Strike,time-G134,0,sigma,interestRate,dividend)</f>
        <v>6.6477038997226536</v>
      </c>
      <c r="M134" s="21">
        <f ca="1">L134*units*optMult*IF(Side="Short",-1,1)</f>
        <v>-66477.038997226526</v>
      </c>
      <c r="N134" s="6">
        <f ca="1">BlackScholes(OptType,"Delta",K134,Strike,time-G134,0,sigma,interestRate,dividend)*IF(Side="Short",-1,1)*units*optMult</f>
        <v>4877.6254963693082</v>
      </c>
      <c r="O134" s="6">
        <f ca="1">K134*EXP((interestRate-dividend)*(time-G134))</f>
        <v>114.38623404211027</v>
      </c>
      <c r="P134" s="19">
        <f>EXP((interestRate-dividend)*(time-G134))*futMult</f>
        <v>250</v>
      </c>
      <c r="Q134">
        <f t="shared" ca="1" si="21"/>
        <v>-19.510501985477234</v>
      </c>
      <c r="R134" s="32">
        <f t="shared" ca="1" si="25"/>
        <v>-2.9156328510687786</v>
      </c>
      <c r="S134" s="17">
        <f t="shared" ca="1" si="26"/>
        <v>-19.510501985477234</v>
      </c>
      <c r="T134" s="24">
        <f t="shared" ca="1" si="27"/>
        <v>-13110.378685901182</v>
      </c>
      <c r="U134" s="24">
        <f t="shared" ca="1" si="28"/>
        <v>-12301.667446628926</v>
      </c>
      <c r="V134" s="24">
        <f ca="1">S133*(O134-O133)*futMult</f>
        <v>12301.667446628926</v>
      </c>
      <c r="W134" s="24">
        <f ca="1">T134+V134</f>
        <v>-808.71123927225563</v>
      </c>
      <c r="X134" s="24">
        <f ca="1">X133+T134</f>
        <v>116731.01247710679</v>
      </c>
      <c r="Y134" s="24">
        <f t="shared" ca="1" si="29"/>
        <v>-23621.409580126587</v>
      </c>
      <c r="Z134" s="24"/>
    </row>
    <row r="135" spans="6:26" x14ac:dyDescent="0.25">
      <c r="F135" s="18">
        <f t="shared" si="22"/>
        <v>132</v>
      </c>
      <c r="G135">
        <f t="shared" si="20"/>
        <v>0.52380952380952384</v>
      </c>
      <c r="H135" s="8">
        <v>-2.3538653473285992E-3</v>
      </c>
      <c r="I135" s="8">
        <f ca="1">(interestRate-dividend-0.5*sigma^2)*1/252+sigma*SQRT(1/252)*_xlfn.NORM.S.INV(RAND())</f>
        <v>-5.291322465558225E-3</v>
      </c>
      <c r="J135" s="27">
        <f t="shared" ca="1" si="23"/>
        <v>113.78257806981054</v>
      </c>
      <c r="K135" s="20">
        <f t="shared" ca="1" si="24"/>
        <v>113.78257806981054</v>
      </c>
      <c r="L135" s="20">
        <f ca="1">BlackScholes(OptType,"Price",K135,Strike,time-G135,0,sigma,interestRate,dividend)</f>
        <v>6.9206887638787746</v>
      </c>
      <c r="M135" s="21">
        <f ca="1">L135*units*optMult*IF(Side="Short",-1,1)</f>
        <v>-69206.887638787754</v>
      </c>
      <c r="N135" s="6">
        <f ca="1">BlackScholes(OptType,"Delta",K135,Strike,time-G135,0,sigma,interestRate,dividend)*IF(Side="Short",-1,1)*units*optMult</f>
        <v>5032.3427375872834</v>
      </c>
      <c r="O135" s="6">
        <f ca="1">K135*EXP((interestRate-dividend)*(time-G135))</f>
        <v>113.78257806981054</v>
      </c>
      <c r="P135" s="19">
        <f>EXP((interestRate-dividend)*(time-G135))*futMult</f>
        <v>250</v>
      </c>
      <c r="Q135">
        <f t="shared" ca="1" si="21"/>
        <v>-20.129370950349134</v>
      </c>
      <c r="R135" s="32">
        <f t="shared" ca="1" si="25"/>
        <v>-0.61886896487190057</v>
      </c>
      <c r="S135" s="17">
        <f t="shared" ca="1" si="26"/>
        <v>-20.129370950349134</v>
      </c>
      <c r="T135" s="24">
        <f t="shared" ca="1" si="27"/>
        <v>-2729.8486415612279</v>
      </c>
      <c r="U135" s="24">
        <f t="shared" ca="1" si="28"/>
        <v>-2944.407761524787</v>
      </c>
      <c r="V135" s="24">
        <f ca="1">S134*(O135-O134)*futMult</f>
        <v>2944.407761524787</v>
      </c>
      <c r="W135" s="24">
        <f ca="1">T135+V135</f>
        <v>214.55911996355917</v>
      </c>
      <c r="X135" s="24">
        <f ca="1">X134+T135</f>
        <v>114001.16383554557</v>
      </c>
      <c r="Y135" s="24">
        <f t="shared" ca="1" si="29"/>
        <v>-20677.001818601799</v>
      </c>
      <c r="Z135" s="24"/>
    </row>
    <row r="136" spans="6:26" x14ac:dyDescent="0.25">
      <c r="F136" s="18">
        <f t="shared" si="22"/>
        <v>133</v>
      </c>
      <c r="G136">
        <f t="shared" si="20"/>
        <v>0.52777777777777779</v>
      </c>
      <c r="H136" s="8">
        <v>4.5458186282798345E-3</v>
      </c>
      <c r="I136" s="8">
        <f ca="1">(interestRate-dividend-0.5*sigma^2)*1/252+sigma*SQRT(1/252)*_xlfn.NORM.S.INV(RAND())</f>
        <v>-4.3270196545907658E-4</v>
      </c>
      <c r="J136" s="27">
        <f t="shared" ca="1" si="23"/>
        <v>113.73335477492097</v>
      </c>
      <c r="K136" s="20">
        <f t="shared" ca="1" si="24"/>
        <v>113.73335477492097</v>
      </c>
      <c r="L136" s="20">
        <f ca="1">BlackScholes(OptType,"Price",K136,Strike,time-G136,0,sigma,interestRate,dividend)</f>
        <v>6.9193455736681386</v>
      </c>
      <c r="M136" s="21">
        <f ca="1">L136*units*optMult*IF(Side="Short",-1,1)</f>
        <v>-69193.455736681382</v>
      </c>
      <c r="N136" s="6">
        <f ca="1">BlackScholes(OptType,"Delta",K136,Strike,time-G136,0,sigma,interestRate,dividend)*IF(Side="Short",-1,1)*units*optMult</f>
        <v>5047.3415229741331</v>
      </c>
      <c r="O136" s="6">
        <f ca="1">K136*EXP((interestRate-dividend)*(time-G136))</f>
        <v>113.73335477492097</v>
      </c>
      <c r="P136" s="19">
        <f>EXP((interestRate-dividend)*(time-G136))*futMult</f>
        <v>250</v>
      </c>
      <c r="Q136">
        <f t="shared" ca="1" si="21"/>
        <v>-20.189366091896531</v>
      </c>
      <c r="R136" s="32">
        <f t="shared" ca="1" si="25"/>
        <v>-5.9995141547396713E-2</v>
      </c>
      <c r="S136" s="17">
        <f t="shared" ca="1" si="26"/>
        <v>-20.189366091896531</v>
      </c>
      <c r="T136" s="24">
        <f t="shared" ca="1" si="27"/>
        <v>13.431902106371126</v>
      </c>
      <c r="U136" s="24">
        <f t="shared" ca="1" si="28"/>
        <v>-247.70849055765433</v>
      </c>
      <c r="V136" s="24">
        <f ca="1">S135*(O136-O135)*futMult</f>
        <v>247.70849055765433</v>
      </c>
      <c r="W136" s="24">
        <f ca="1">T136+V136</f>
        <v>261.14039266402546</v>
      </c>
      <c r="X136" s="24">
        <f ca="1">X135+T136</f>
        <v>114014.59573765194</v>
      </c>
      <c r="Y136" s="24">
        <f t="shared" ca="1" si="29"/>
        <v>-20429.293328044143</v>
      </c>
      <c r="Z136" s="24"/>
    </row>
    <row r="137" spans="6:26" x14ac:dyDescent="0.25">
      <c r="F137" s="18">
        <f t="shared" si="22"/>
        <v>134</v>
      </c>
      <c r="G137">
        <f t="shared" si="20"/>
        <v>0.53174603174603174</v>
      </c>
      <c r="H137" s="8">
        <v>-1.0059814481564887E-2</v>
      </c>
      <c r="I137" s="8">
        <f ca="1">(interestRate-dividend-0.5*sigma^2)*1/252+sigma*SQRT(1/252)*_xlfn.NORM.S.INV(RAND())</f>
        <v>1.116542891798316E-2</v>
      </c>
      <c r="J137" s="27">
        <f t="shared" ca="1" si="23"/>
        <v>115.01035230929089</v>
      </c>
      <c r="K137" s="20">
        <f t="shared" ca="1" si="24"/>
        <v>115.01035230929089</v>
      </c>
      <c r="L137" s="20">
        <f ca="1">BlackScholes(OptType,"Price",K137,Strike,time-G137,0,sigma,interestRate,dividend)</f>
        <v>6.2690395914489718</v>
      </c>
      <c r="M137" s="21">
        <f ca="1">L137*units*optMult*IF(Side="Short",-1,1)</f>
        <v>-62690.395914489716</v>
      </c>
      <c r="N137" s="6">
        <f ca="1">BlackScholes(OptType,"Delta",K137,Strike,time-G137,0,sigma,interestRate,dividend)*IF(Side="Short",-1,1)*units*optMult</f>
        <v>4724.6025711655957</v>
      </c>
      <c r="O137" s="6">
        <f ca="1">K137*EXP((interestRate-dividend)*(time-G137))</f>
        <v>115.01035230929089</v>
      </c>
      <c r="P137" s="19">
        <f>EXP((interestRate-dividend)*(time-G137))*futMult</f>
        <v>250</v>
      </c>
      <c r="Q137">
        <f t="shared" ca="1" si="21"/>
        <v>-18.898410284662383</v>
      </c>
      <c r="R137" s="32">
        <f t="shared" ca="1" si="25"/>
        <v>1.2909558072341483</v>
      </c>
      <c r="S137" s="17">
        <f t="shared" ca="1" si="26"/>
        <v>-18.898410284662383</v>
      </c>
      <c r="T137" s="24">
        <f t="shared" ca="1" si="27"/>
        <v>6503.0598221916662</v>
      </c>
      <c r="U137" s="24">
        <f t="shared" ca="1" si="28"/>
        <v>6445.4426799609146</v>
      </c>
      <c r="V137" s="24">
        <f ca="1">S136*(O137-O136)*futMult</f>
        <v>-6445.4426799609146</v>
      </c>
      <c r="W137" s="24">
        <f ca="1">T137+V137</f>
        <v>57.617142230751597</v>
      </c>
      <c r="X137" s="24">
        <f ca="1">X136+T137</f>
        <v>120517.65555984361</v>
      </c>
      <c r="Y137" s="24">
        <f t="shared" ca="1" si="29"/>
        <v>-26874.736008005057</v>
      </c>
      <c r="Z137" s="24"/>
    </row>
    <row r="138" spans="6:26" x14ac:dyDescent="0.25">
      <c r="F138" s="18">
        <f t="shared" si="22"/>
        <v>135</v>
      </c>
      <c r="G138">
        <f t="shared" si="20"/>
        <v>0.5357142857142857</v>
      </c>
      <c r="H138" s="8">
        <v>7.9462280358092528E-3</v>
      </c>
      <c r="I138" s="8">
        <f ca="1">(interestRate-dividend-0.5*sigma^2)*1/252+sigma*SQRT(1/252)*_xlfn.NORM.S.INV(RAND())</f>
        <v>1.3595971412671779E-2</v>
      </c>
      <c r="J138" s="27">
        <f t="shared" ca="1" si="23"/>
        <v>116.58470796708794</v>
      </c>
      <c r="K138" s="20">
        <f t="shared" ca="1" si="24"/>
        <v>116.58470796708794</v>
      </c>
      <c r="L138" s="20">
        <f ca="1">BlackScholes(OptType,"Price",K138,Strike,time-G138,0,sigma,interestRate,dividend)</f>
        <v>5.5296678450121473</v>
      </c>
      <c r="M138" s="21">
        <f ca="1">L138*units*optMult*IF(Side="Short",-1,1)</f>
        <v>-55296.678450121479</v>
      </c>
      <c r="N138" s="6">
        <f ca="1">BlackScholes(OptType,"Delta",K138,Strike,time-G138,0,sigma,interestRate,dividend)*IF(Side="Short",-1,1)*units*optMult</f>
        <v>4330.6893184808805</v>
      </c>
      <c r="O138" s="6">
        <f ca="1">K138*EXP((interestRate-dividend)*(time-G138))</f>
        <v>116.58470796708794</v>
      </c>
      <c r="P138" s="19">
        <f>EXP((interestRate-dividend)*(time-G138))*futMult</f>
        <v>250</v>
      </c>
      <c r="Q138">
        <f t="shared" ca="1" si="21"/>
        <v>-17.322757273923521</v>
      </c>
      <c r="R138" s="32">
        <f t="shared" ca="1" si="25"/>
        <v>1.5756530107388613</v>
      </c>
      <c r="S138" s="17">
        <f t="shared" ca="1" si="26"/>
        <v>-17.322757273923521</v>
      </c>
      <c r="T138" s="24">
        <f t="shared" ca="1" si="27"/>
        <v>7393.7174643682374</v>
      </c>
      <c r="U138" s="24">
        <f t="shared" ca="1" si="28"/>
        <v>7438.2047887570088</v>
      </c>
      <c r="V138" s="24">
        <f ca="1">S137*(O138-O137)*futMult</f>
        <v>-7438.2047887570088</v>
      </c>
      <c r="W138" s="24">
        <f ca="1">T138+V138</f>
        <v>-44.487324388771412</v>
      </c>
      <c r="X138" s="24">
        <f ca="1">X137+T138</f>
        <v>127911.37302421185</v>
      </c>
      <c r="Y138" s="24">
        <f t="shared" ca="1" si="29"/>
        <v>-34312.940796762065</v>
      </c>
      <c r="Z138" s="24"/>
    </row>
    <row r="139" spans="6:26" x14ac:dyDescent="0.25">
      <c r="F139" s="18">
        <f t="shared" si="22"/>
        <v>136</v>
      </c>
      <c r="G139">
        <f t="shared" si="20"/>
        <v>0.53968253968253965</v>
      </c>
      <c r="H139" s="8">
        <v>-4.5554587105155597E-3</v>
      </c>
      <c r="I139" s="8">
        <f ca="1">(interestRate-dividend-0.5*sigma^2)*1/252+sigma*SQRT(1/252)*_xlfn.NORM.S.INV(RAND())</f>
        <v>-2.0315704914196053E-2</v>
      </c>
      <c r="J139" s="27">
        <f t="shared" ca="1" si="23"/>
        <v>114.24010422116271</v>
      </c>
      <c r="K139" s="20">
        <f t="shared" ca="1" si="24"/>
        <v>114.24010422116271</v>
      </c>
      <c r="L139" s="20">
        <f ca="1">BlackScholes(OptType,"Price",K139,Strike,time-G139,0,sigma,interestRate,dividend)</f>
        <v>6.5874009897551504</v>
      </c>
      <c r="M139" s="21">
        <f ca="1">L139*units*optMult*IF(Side="Short",-1,1)</f>
        <v>-65874.009897551499</v>
      </c>
      <c r="N139" s="6">
        <f ca="1">BlackScholes(OptType,"Delta",K139,Strike,time-G139,0,sigma,interestRate,dividend)*IF(Side="Short",-1,1)*units*optMult</f>
        <v>4924.2508787439128</v>
      </c>
      <c r="O139" s="6">
        <f ca="1">K139*EXP((interestRate-dividend)*(time-G139))</f>
        <v>114.24010422116271</v>
      </c>
      <c r="P139" s="19">
        <f>EXP((interestRate-dividend)*(time-G139))*futMult</f>
        <v>250</v>
      </c>
      <c r="Q139">
        <f t="shared" ca="1" si="21"/>
        <v>-19.697003514975652</v>
      </c>
      <c r="R139" s="32">
        <f t="shared" ca="1" si="25"/>
        <v>-2.3742462410521306</v>
      </c>
      <c r="S139" s="17">
        <f t="shared" ca="1" si="26"/>
        <v>-19.697003514975652</v>
      </c>
      <c r="T139" s="24">
        <f t="shared" ca="1" si="27"/>
        <v>-10577.33144743002</v>
      </c>
      <c r="U139" s="24">
        <f t="shared" ca="1" si="28"/>
        <v>-10153.75039854864</v>
      </c>
      <c r="V139" s="24">
        <f ca="1">S138*(O139-O138)*futMult</f>
        <v>10153.75039854864</v>
      </c>
      <c r="W139" s="24">
        <f ca="1">T139+V139</f>
        <v>-423.58104888138041</v>
      </c>
      <c r="X139" s="24">
        <f ca="1">X138+T139</f>
        <v>117334.04157678183</v>
      </c>
      <c r="Y139" s="24">
        <f t="shared" ca="1" si="29"/>
        <v>-24159.190398213424</v>
      </c>
      <c r="Z139" s="24"/>
    </row>
    <row r="140" spans="6:26" x14ac:dyDescent="0.25">
      <c r="F140" s="18">
        <f t="shared" si="22"/>
        <v>137</v>
      </c>
      <c r="G140">
        <f t="shared" si="20"/>
        <v>0.54365079365079361</v>
      </c>
      <c r="H140" s="8">
        <v>8.4659908329730651E-3</v>
      </c>
      <c r="I140" s="8">
        <f ca="1">(interestRate-dividend-0.5*sigma^2)*1/252+sigma*SQRT(1/252)*_xlfn.NORM.S.INV(RAND())</f>
        <v>-7.2087435066500423E-3</v>
      </c>
      <c r="J140" s="27">
        <f t="shared" ca="1" si="23"/>
        <v>113.41953779157858</v>
      </c>
      <c r="K140" s="20">
        <f t="shared" ca="1" si="24"/>
        <v>113.41953779157858</v>
      </c>
      <c r="L140" s="20">
        <f ca="1">BlackScholes(OptType,"Price",K140,Strike,time-G140,0,sigma,interestRate,dividend)</f>
        <v>6.9736465497986879</v>
      </c>
      <c r="M140" s="21">
        <f ca="1">L140*units*optMult*IF(Side="Short",-1,1)</f>
        <v>-69736.465497986879</v>
      </c>
      <c r="N140" s="6">
        <f ca="1">BlackScholes(OptType,"Delta",K140,Strike,time-G140,0,sigma,interestRate,dividend)*IF(Side="Short",-1,1)*units*optMult</f>
        <v>5139.091460542917</v>
      </c>
      <c r="O140" s="6">
        <f ca="1">K140*EXP((interestRate-dividend)*(time-G140))</f>
        <v>113.41953779157858</v>
      </c>
      <c r="P140" s="19">
        <f>EXP((interestRate-dividend)*(time-G140))*futMult</f>
        <v>250</v>
      </c>
      <c r="Q140">
        <f t="shared" ca="1" si="21"/>
        <v>-20.556365842171669</v>
      </c>
      <c r="R140" s="32">
        <f t="shared" ca="1" si="25"/>
        <v>-0.85936232719601691</v>
      </c>
      <c r="S140" s="17">
        <f t="shared" ca="1" si="26"/>
        <v>-20.556365842171669</v>
      </c>
      <c r="T140" s="24">
        <f t="shared" ca="1" si="27"/>
        <v>-3862.4556004353799</v>
      </c>
      <c r="U140" s="24">
        <f t="shared" ca="1" si="28"/>
        <v>-4040.6749619474222</v>
      </c>
      <c r="V140" s="24">
        <f ca="1">S139*(O140-O139)*futMult</f>
        <v>4040.6749619474222</v>
      </c>
      <c r="W140" s="24">
        <f ca="1">T140+V140</f>
        <v>178.21936151204227</v>
      </c>
      <c r="X140" s="24">
        <f ca="1">X139+T140</f>
        <v>113471.58597634645</v>
      </c>
      <c r="Y140" s="24">
        <f t="shared" ca="1" si="29"/>
        <v>-20118.515436266003</v>
      </c>
      <c r="Z140" s="24"/>
    </row>
    <row r="141" spans="6:26" x14ac:dyDescent="0.25">
      <c r="F141" s="18">
        <f t="shared" si="22"/>
        <v>138</v>
      </c>
      <c r="G141">
        <f t="shared" si="20"/>
        <v>0.54761904761904767</v>
      </c>
      <c r="H141" s="8">
        <v>-4.7729052698616218E-3</v>
      </c>
      <c r="I141" s="8">
        <f ca="1">(interestRate-dividend-0.5*sigma^2)*1/252+sigma*SQRT(1/252)*_xlfn.NORM.S.INV(RAND())</f>
        <v>4.7802792640612227E-3</v>
      </c>
      <c r="J141" s="27">
        <f t="shared" ca="1" si="23"/>
        <v>113.96301280247056</v>
      </c>
      <c r="K141" s="20">
        <f t="shared" ca="1" si="24"/>
        <v>113.96301280247056</v>
      </c>
      <c r="L141" s="20">
        <f ca="1">BlackScholes(OptType,"Price",K141,Strike,time-G141,0,sigma,interestRate,dividend)</f>
        <v>6.6714219878615557</v>
      </c>
      <c r="M141" s="21">
        <f ca="1">L141*units*optMult*IF(Side="Short",-1,1)</f>
        <v>-66714.21987861555</v>
      </c>
      <c r="N141" s="6">
        <f ca="1">BlackScholes(OptType,"Delta",K141,Strike,time-G141,0,sigma,interestRate,dividend)*IF(Side="Short",-1,1)*units*optMult</f>
        <v>5000.3132575260961</v>
      </c>
      <c r="O141" s="6">
        <f ca="1">K141*EXP((interestRate-dividend)*(time-G141))</f>
        <v>113.96301280247056</v>
      </c>
      <c r="P141" s="19">
        <f>EXP((interestRate-dividend)*(time-G141))*futMult</f>
        <v>250</v>
      </c>
      <c r="Q141">
        <f t="shared" ca="1" si="21"/>
        <v>-20.001253030104383</v>
      </c>
      <c r="R141" s="32">
        <f t="shared" ca="1" si="25"/>
        <v>0.55511281206728569</v>
      </c>
      <c r="S141" s="17">
        <f t="shared" ca="1" si="26"/>
        <v>-20.001253030104383</v>
      </c>
      <c r="T141" s="24">
        <f t="shared" ca="1" si="27"/>
        <v>3022.2456193713297</v>
      </c>
      <c r="U141" s="24">
        <f t="shared" ca="1" si="28"/>
        <v>2792.9677874934509</v>
      </c>
      <c r="V141" s="24">
        <f ca="1">S140*(O141-O140)*futMult</f>
        <v>-2792.9677874934509</v>
      </c>
      <c r="W141" s="24">
        <f ca="1">T141+V141</f>
        <v>229.27783187787873</v>
      </c>
      <c r="X141" s="24">
        <f ca="1">X140+T141</f>
        <v>116493.83159571778</v>
      </c>
      <c r="Y141" s="24">
        <f t="shared" ca="1" si="29"/>
        <v>-22911.483223759453</v>
      </c>
      <c r="Z141" s="24"/>
    </row>
    <row r="142" spans="6:26" x14ac:dyDescent="0.25">
      <c r="F142" s="18">
        <f t="shared" si="22"/>
        <v>139</v>
      </c>
      <c r="G142">
        <f t="shared" si="20"/>
        <v>0.55158730158730163</v>
      </c>
      <c r="H142" s="8">
        <v>-5.8997221271882708E-3</v>
      </c>
      <c r="I142" s="8">
        <f ca="1">(interestRate-dividend-0.5*sigma^2)*1/252+sigma*SQRT(1/252)*_xlfn.NORM.S.INV(RAND())</f>
        <v>1.5557200036063265E-2</v>
      </c>
      <c r="J142" s="27">
        <f t="shared" ca="1" si="23"/>
        <v>115.74982101800647</v>
      </c>
      <c r="K142" s="20">
        <f t="shared" ca="1" si="24"/>
        <v>115.74982101800647</v>
      </c>
      <c r="L142" s="20">
        <f ca="1">BlackScholes(OptType,"Price",K142,Strike,time-G142,0,sigma,interestRate,dividend)</f>
        <v>5.7921199243433765</v>
      </c>
      <c r="M142" s="21">
        <f ca="1">L142*units*optMult*IF(Side="Short",-1,1)</f>
        <v>-57921.199243433759</v>
      </c>
      <c r="N142" s="6">
        <f ca="1">BlackScholes(OptType,"Delta",K142,Strike,time-G142,0,sigma,interestRate,dividend)*IF(Side="Short",-1,1)*units*optMult</f>
        <v>4540.2833070901042</v>
      </c>
      <c r="O142" s="6">
        <f ca="1">K142*EXP((interestRate-dividend)*(time-G142))</f>
        <v>115.74982101800647</v>
      </c>
      <c r="P142" s="19">
        <f>EXP((interestRate-dividend)*(time-G142))*futMult</f>
        <v>250</v>
      </c>
      <c r="Q142">
        <f t="shared" ca="1" si="21"/>
        <v>-18.161133228360416</v>
      </c>
      <c r="R142" s="32">
        <f t="shared" ca="1" si="25"/>
        <v>1.8401198017439668</v>
      </c>
      <c r="S142" s="17">
        <f t="shared" ca="1" si="26"/>
        <v>-18.161133228360416</v>
      </c>
      <c r="T142" s="24">
        <f t="shared" ca="1" si="27"/>
        <v>8793.0206351817906</v>
      </c>
      <c r="U142" s="24">
        <f t="shared" ca="1" si="28"/>
        <v>8934.6008088007729</v>
      </c>
      <c r="V142" s="24">
        <f ca="1">S141*(O142-O141)*futMult</f>
        <v>-8934.6008088007729</v>
      </c>
      <c r="W142" s="24">
        <f ca="1">T142+V142</f>
        <v>-141.58017361898237</v>
      </c>
      <c r="X142" s="24">
        <f ca="1">X141+T142</f>
        <v>125286.85223089957</v>
      </c>
      <c r="Y142" s="24">
        <f t="shared" ca="1" si="29"/>
        <v>-31846.084032560226</v>
      </c>
      <c r="Z142" s="24"/>
    </row>
    <row r="143" spans="6:26" x14ac:dyDescent="0.25">
      <c r="F143" s="18">
        <f t="shared" si="22"/>
        <v>140</v>
      </c>
      <c r="G143">
        <f t="shared" si="20"/>
        <v>0.55555555555555558</v>
      </c>
      <c r="H143" s="8">
        <v>-1.7669991738235451E-2</v>
      </c>
      <c r="I143" s="8">
        <f ca="1">(interestRate-dividend-0.5*sigma^2)*1/252+sigma*SQRT(1/252)*_xlfn.NORM.S.INV(RAND())</f>
        <v>1.4069004298423858E-2</v>
      </c>
      <c r="J143" s="27">
        <f t="shared" ca="1" si="23"/>
        <v>117.38981523913451</v>
      </c>
      <c r="K143" s="20">
        <f t="shared" ca="1" si="24"/>
        <v>117.38981523913451</v>
      </c>
      <c r="L143" s="20">
        <f ca="1">BlackScholes(OptType,"Price",K143,Strike,time-G143,0,sigma,interestRate,dividend)</f>
        <v>5.0544186746854436</v>
      </c>
      <c r="M143" s="21">
        <f ca="1">L143*units*optMult*IF(Side="Short",-1,1)</f>
        <v>-50544.186746854437</v>
      </c>
      <c r="N143" s="6">
        <f ca="1">BlackScholes(OptType,"Delta",K143,Strike,time-G143,0,sigma,interestRate,dividend)*IF(Side="Short",-1,1)*units*optMult</f>
        <v>4125.7470065243879</v>
      </c>
      <c r="O143" s="6">
        <f ca="1">K143*EXP((interestRate-dividend)*(time-G143))</f>
        <v>117.38981523913451</v>
      </c>
      <c r="P143" s="19">
        <f>EXP((interestRate-dividend)*(time-G143))*futMult</f>
        <v>250</v>
      </c>
      <c r="Q143">
        <f t="shared" ca="1" si="21"/>
        <v>-16.502988026097551</v>
      </c>
      <c r="R143" s="32">
        <f t="shared" ca="1" si="25"/>
        <v>1.6581452022628653</v>
      </c>
      <c r="S143" s="17">
        <f t="shared" ca="1" si="26"/>
        <v>-16.502988026097551</v>
      </c>
      <c r="T143" s="24">
        <f t="shared" ca="1" si="27"/>
        <v>7377.012496579322</v>
      </c>
      <c r="U143" s="24">
        <f t="shared" ca="1" si="28"/>
        <v>7446.0383859118529</v>
      </c>
      <c r="V143" s="24">
        <f ca="1">S142*(O143-O142)*futMult</f>
        <v>-7446.0383859118529</v>
      </c>
      <c r="W143" s="24">
        <f ca="1">T143+V143</f>
        <v>-69.025889332530824</v>
      </c>
      <c r="X143" s="24">
        <f ca="1">X142+T143</f>
        <v>132663.86472747888</v>
      </c>
      <c r="Y143" s="24">
        <f t="shared" ca="1" si="29"/>
        <v>-39292.122418472078</v>
      </c>
      <c r="Z143" s="24"/>
    </row>
    <row r="144" spans="6:26" x14ac:dyDescent="0.25">
      <c r="F144" s="18">
        <f t="shared" si="22"/>
        <v>141</v>
      </c>
      <c r="G144">
        <f t="shared" si="20"/>
        <v>0.55952380952380953</v>
      </c>
      <c r="H144" s="8">
        <v>7.1613196372595752E-3</v>
      </c>
      <c r="I144" s="8">
        <f ca="1">(interestRate-dividend-0.5*sigma^2)*1/252+sigma*SQRT(1/252)*_xlfn.NORM.S.INV(RAND())</f>
        <v>9.6556813800023015E-3</v>
      </c>
      <c r="J144" s="27">
        <f t="shared" ca="1" si="23"/>
        <v>118.52878380208374</v>
      </c>
      <c r="K144" s="20">
        <f t="shared" ca="1" si="24"/>
        <v>118.52878380208374</v>
      </c>
      <c r="L144" s="20">
        <f ca="1">BlackScholes(OptType,"Price",K144,Strike,time-G144,0,sigma,interestRate,dividend)</f>
        <v>4.5734796619696763</v>
      </c>
      <c r="M144" s="21">
        <f ca="1">L144*units*optMult*IF(Side="Short",-1,1)</f>
        <v>-45734.796619696761</v>
      </c>
      <c r="N144" s="6">
        <f ca="1">BlackScholes(OptType,"Delta",K144,Strike,time-G144,0,sigma,interestRate,dividend)*IF(Side="Short",-1,1)*units*optMult</f>
        <v>3843.5413966755027</v>
      </c>
      <c r="O144" s="6">
        <f ca="1">K144*EXP((interestRate-dividend)*(time-G144))</f>
        <v>118.52878380208374</v>
      </c>
      <c r="P144" s="19">
        <f>EXP((interestRate-dividend)*(time-G144))*futMult</f>
        <v>250</v>
      </c>
      <c r="Q144">
        <f t="shared" ca="1" si="21"/>
        <v>-15.374165586702011</v>
      </c>
      <c r="R144" s="32">
        <f t="shared" ca="1" si="25"/>
        <v>1.1288224393955399</v>
      </c>
      <c r="S144" s="17">
        <f t="shared" ca="1" si="26"/>
        <v>-15.374165586702011</v>
      </c>
      <c r="T144" s="24">
        <f t="shared" ca="1" si="27"/>
        <v>4809.390127157676</v>
      </c>
      <c r="U144" s="24">
        <f t="shared" ca="1" si="28"/>
        <v>4699.0961391131714</v>
      </c>
      <c r="V144" s="24">
        <f ca="1">S143*(O144-O143)*futMult</f>
        <v>-4699.0961391131714</v>
      </c>
      <c r="W144" s="24">
        <f ca="1">T144+V144</f>
        <v>110.29398804450466</v>
      </c>
      <c r="X144" s="24">
        <f ca="1">X143+T144</f>
        <v>137473.25485463656</v>
      </c>
      <c r="Y144" s="24">
        <f t="shared" ca="1" si="29"/>
        <v>-43991.218557585249</v>
      </c>
      <c r="Z144" s="24"/>
    </row>
    <row r="145" spans="6:26" x14ac:dyDescent="0.25">
      <c r="F145" s="18">
        <f t="shared" si="22"/>
        <v>142</v>
      </c>
      <c r="G145">
        <f t="shared" si="20"/>
        <v>0.56349206349206349</v>
      </c>
      <c r="H145" s="8">
        <v>9.3245393397591962E-3</v>
      </c>
      <c r="I145" s="8">
        <f ca="1">(interestRate-dividend-0.5*sigma^2)*1/252+sigma*SQRT(1/252)*_xlfn.NORM.S.INV(RAND())</f>
        <v>-5.7623974180494178E-3</v>
      </c>
      <c r="J145" s="27">
        <f t="shared" ca="1" si="23"/>
        <v>117.84773795726922</v>
      </c>
      <c r="K145" s="20">
        <f t="shared" ca="1" si="24"/>
        <v>117.84773795726922</v>
      </c>
      <c r="L145" s="20">
        <f ca="1">BlackScholes(OptType,"Price",K145,Strike,time-G145,0,sigma,interestRate,dividend)</f>
        <v>4.8136071185671785</v>
      </c>
      <c r="M145" s="21">
        <f ca="1">L145*units*optMult*IF(Side="Short",-1,1)</f>
        <v>-48136.071185671783</v>
      </c>
      <c r="N145" s="6">
        <f ca="1">BlackScholes(OptType,"Delta",K145,Strike,time-G145,0,sigma,interestRate,dividend)*IF(Side="Short",-1,1)*units*optMult</f>
        <v>4008.3405228469169</v>
      </c>
      <c r="O145" s="6">
        <f ca="1">K145*EXP((interestRate-dividend)*(time-G145))</f>
        <v>117.84773795726922</v>
      </c>
      <c r="P145" s="19">
        <f>EXP((interestRate-dividend)*(time-G145))*futMult</f>
        <v>250</v>
      </c>
      <c r="Q145">
        <f t="shared" ca="1" si="21"/>
        <v>-16.033362091387666</v>
      </c>
      <c r="R145" s="32">
        <f t="shared" ca="1" si="25"/>
        <v>-0.65919650468565472</v>
      </c>
      <c r="S145" s="17">
        <f t="shared" ca="1" si="26"/>
        <v>-16.033362091387666</v>
      </c>
      <c r="T145" s="24">
        <f t="shared" ca="1" si="27"/>
        <v>-2401.2745659750217</v>
      </c>
      <c r="U145" s="24">
        <f t="shared" ca="1" si="28"/>
        <v>-2617.6278975784471</v>
      </c>
      <c r="V145" s="24">
        <f ca="1">S144*(O145-O144)*futMult</f>
        <v>2617.6278975784471</v>
      </c>
      <c r="W145" s="24">
        <f ca="1">T145+V145</f>
        <v>216.35333160342543</v>
      </c>
      <c r="X145" s="24">
        <f ca="1">X144+T145</f>
        <v>135071.98028866155</v>
      </c>
      <c r="Y145" s="24">
        <f t="shared" ca="1" si="29"/>
        <v>-41373.590660006805</v>
      </c>
      <c r="Z145" s="24"/>
    </row>
    <row r="146" spans="6:26" x14ac:dyDescent="0.25">
      <c r="F146" s="18">
        <f t="shared" si="22"/>
        <v>143</v>
      </c>
      <c r="G146">
        <f t="shared" si="20"/>
        <v>0.56746031746031744</v>
      </c>
      <c r="H146" s="8">
        <v>-1.2646223626588103E-3</v>
      </c>
      <c r="I146" s="8">
        <f ca="1">(interestRate-dividend-0.5*sigma^2)*1/252+sigma*SQRT(1/252)*_xlfn.NORM.S.INV(RAND())</f>
        <v>5.9497796492522523E-3</v>
      </c>
      <c r="J146" s="27">
        <f t="shared" ca="1" si="23"/>
        <v>118.5509960710816</v>
      </c>
      <c r="K146" s="20">
        <f t="shared" ca="1" si="24"/>
        <v>118.5509960710816</v>
      </c>
      <c r="L146" s="20">
        <f ca="1">BlackScholes(OptType,"Price",K146,Strike,time-G146,0,sigma,interestRate,dividend)</f>
        <v>4.5105732664561238</v>
      </c>
      <c r="M146" s="21">
        <f ca="1">L146*units*optMult*IF(Side="Short",-1,1)</f>
        <v>-45105.732664561234</v>
      </c>
      <c r="N146" s="6">
        <f ca="1">BlackScholes(OptType,"Delta",K146,Strike,time-G146,0,sigma,interestRate,dividend)*IF(Side="Short",-1,1)*units*optMult</f>
        <v>3832.4533636955989</v>
      </c>
      <c r="O146" s="6">
        <f ca="1">K146*EXP((interestRate-dividend)*(time-G146))</f>
        <v>118.5509960710816</v>
      </c>
      <c r="P146" s="19">
        <f>EXP((interestRate-dividend)*(time-G146))*futMult</f>
        <v>250</v>
      </c>
      <c r="Q146">
        <f t="shared" ca="1" si="21"/>
        <v>-15.329813454782396</v>
      </c>
      <c r="R146" s="32">
        <f t="shared" ca="1" si="25"/>
        <v>0.70354863660526945</v>
      </c>
      <c r="S146" s="17">
        <f t="shared" ca="1" si="26"/>
        <v>-15.329813454782396</v>
      </c>
      <c r="T146" s="24">
        <f t="shared" ca="1" si="27"/>
        <v>3030.3385211105488</v>
      </c>
      <c r="U146" s="24">
        <f t="shared" ca="1" si="28"/>
        <v>2818.8979956150588</v>
      </c>
      <c r="V146" s="24">
        <f ca="1">S145*(O146-O145)*futMult</f>
        <v>-2818.8979956150583</v>
      </c>
      <c r="W146" s="24">
        <f ca="1">T146+V146</f>
        <v>211.44052549549042</v>
      </c>
      <c r="X146" s="24">
        <f ca="1">X145+T146</f>
        <v>138102.31880977208</v>
      </c>
      <c r="Y146" s="24">
        <f t="shared" ca="1" si="29"/>
        <v>-44192.488655621863</v>
      </c>
      <c r="Z146" s="24"/>
    </row>
    <row r="147" spans="6:26" x14ac:dyDescent="0.25">
      <c r="F147" s="18">
        <f t="shared" si="22"/>
        <v>144</v>
      </c>
      <c r="G147">
        <f t="shared" si="20"/>
        <v>0.5714285714285714</v>
      </c>
      <c r="H147" s="8">
        <v>-3.485980395938987E-3</v>
      </c>
      <c r="I147" s="8">
        <f ca="1">(interestRate-dividend-0.5*sigma^2)*1/252+sigma*SQRT(1/252)*_xlfn.NORM.S.INV(RAND())</f>
        <v>-4.0425813767720606E-3</v>
      </c>
      <c r="J147" s="27">
        <f t="shared" ca="1" si="23"/>
        <v>118.072711425829</v>
      </c>
      <c r="K147" s="20">
        <f t="shared" ca="1" si="24"/>
        <v>118.072711425829</v>
      </c>
      <c r="L147" s="20">
        <f ca="1">BlackScholes(OptType,"Price",K147,Strike,time-G147,0,sigma,interestRate,dividend)</f>
        <v>4.6691929603886209</v>
      </c>
      <c r="M147" s="21">
        <f ca="1">L147*units*optMult*IF(Side="Short",-1,1)</f>
        <v>-46691.929603886208</v>
      </c>
      <c r="N147" s="6">
        <f ca="1">BlackScholes(OptType,"Delta",K147,Strike,time-G147,0,sigma,interestRate,dividend)*IF(Side="Short",-1,1)*units*optMult</f>
        <v>3947.8919014015682</v>
      </c>
      <c r="O147" s="6">
        <f ca="1">K147*EXP((interestRate-dividend)*(time-G147))</f>
        <v>118.072711425829</v>
      </c>
      <c r="P147" s="19">
        <f>EXP((interestRate-dividend)*(time-G147))*futMult</f>
        <v>250</v>
      </c>
      <c r="Q147">
        <f t="shared" ca="1" si="21"/>
        <v>-15.791567605606273</v>
      </c>
      <c r="R147" s="32">
        <f t="shared" ca="1" si="25"/>
        <v>-0.46175415082387694</v>
      </c>
      <c r="S147" s="17">
        <f t="shared" ca="1" si="26"/>
        <v>-15.791567605606273</v>
      </c>
      <c r="T147" s="24">
        <f t="shared" ca="1" si="27"/>
        <v>-1586.1969393249747</v>
      </c>
      <c r="U147" s="24">
        <f t="shared" ca="1" si="28"/>
        <v>-1833.0035975022838</v>
      </c>
      <c r="V147" s="24">
        <f ca="1">S146*(O147-O146)*futMult</f>
        <v>1833.0035975022838</v>
      </c>
      <c r="W147" s="24">
        <f ca="1">T147+V147</f>
        <v>246.80665817730915</v>
      </c>
      <c r="X147" s="24">
        <f ca="1">X146+T147</f>
        <v>136516.12187044712</v>
      </c>
      <c r="Y147" s="24">
        <f t="shared" ca="1" si="29"/>
        <v>-42359.485058119579</v>
      </c>
      <c r="Z147" s="24"/>
    </row>
    <row r="148" spans="6:26" x14ac:dyDescent="0.25">
      <c r="F148" s="18">
        <f t="shared" si="22"/>
        <v>145</v>
      </c>
      <c r="G148">
        <f t="shared" si="20"/>
        <v>0.57539682539682535</v>
      </c>
      <c r="H148" s="8">
        <v>-2.4633490147319176E-3</v>
      </c>
      <c r="I148" s="8">
        <f ca="1">(interestRate-dividend-0.5*sigma^2)*1/252+sigma*SQRT(1/252)*_xlfn.NORM.S.INV(RAND())</f>
        <v>8.0677290234833169E-3</v>
      </c>
      <c r="J148" s="27">
        <f t="shared" ca="1" si="23"/>
        <v>119.02914299434343</v>
      </c>
      <c r="K148" s="20">
        <f t="shared" ca="1" si="24"/>
        <v>119.02914299434343</v>
      </c>
      <c r="L148" s="20">
        <f ca="1">BlackScholes(OptType,"Price",K148,Strike,time-G148,0,sigma,interestRate,dividend)</f>
        <v>4.2755665297685006</v>
      </c>
      <c r="M148" s="21">
        <f ca="1">L148*units*optMult*IF(Side="Short",-1,1)</f>
        <v>-42755.665297685002</v>
      </c>
      <c r="N148" s="6">
        <f ca="1">BlackScholes(OptType,"Delta",K148,Strike,time-G148,0,sigma,interestRate,dividend)*IF(Side="Short",-1,1)*units*optMult</f>
        <v>3709.2712676013221</v>
      </c>
      <c r="O148" s="6">
        <f ca="1">K148*EXP((interestRate-dividend)*(time-G148))</f>
        <v>119.02914299434343</v>
      </c>
      <c r="P148" s="19">
        <f>EXP((interestRate-dividend)*(time-G148))*futMult</f>
        <v>250</v>
      </c>
      <c r="Q148">
        <f t="shared" ca="1" si="21"/>
        <v>-14.837085070405289</v>
      </c>
      <c r="R148" s="32">
        <f t="shared" ca="1" si="25"/>
        <v>0.95448253520098447</v>
      </c>
      <c r="S148" s="17">
        <f t="shared" ca="1" si="26"/>
        <v>-14.837085070405289</v>
      </c>
      <c r="T148" s="24">
        <f t="shared" ca="1" si="27"/>
        <v>3936.2643062012066</v>
      </c>
      <c r="U148" s="24">
        <f t="shared" ca="1" si="28"/>
        <v>3775.8884435829264</v>
      </c>
      <c r="V148" s="24">
        <f ca="1">S147*(O148-O147)*futMult</f>
        <v>-3775.8884435829259</v>
      </c>
      <c r="W148" s="24">
        <f ca="1">T148+V148</f>
        <v>160.37586261828073</v>
      </c>
      <c r="X148" s="24">
        <f ca="1">X147+T148</f>
        <v>140452.38617664832</v>
      </c>
      <c r="Y148" s="24">
        <f t="shared" ca="1" si="29"/>
        <v>-46135.373501702503</v>
      </c>
      <c r="Z148" s="24"/>
    </row>
    <row r="149" spans="6:26" x14ac:dyDescent="0.25">
      <c r="F149" s="18">
        <f t="shared" si="22"/>
        <v>146</v>
      </c>
      <c r="G149">
        <f t="shared" si="20"/>
        <v>0.57936507936507942</v>
      </c>
      <c r="H149" s="8">
        <v>-2.5136262583672311E-2</v>
      </c>
      <c r="I149" s="8">
        <f ca="1">(interestRate-dividend-0.5*sigma^2)*1/252+sigma*SQRT(1/252)*_xlfn.NORM.S.INV(RAND())</f>
        <v>9.4497288392146658E-3</v>
      </c>
      <c r="J149" s="27">
        <f t="shared" ca="1" si="23"/>
        <v>120.1592673944224</v>
      </c>
      <c r="K149" s="20">
        <f t="shared" ca="1" si="24"/>
        <v>120.1592673944224</v>
      </c>
      <c r="L149" s="20">
        <f ca="1">BlackScholes(OptType,"Price",K149,Strike,time-G149,0,sigma,interestRate,dividend)</f>
        <v>3.8447661769846007</v>
      </c>
      <c r="M149" s="21">
        <f ca="1">L149*units*optMult*IF(Side="Short",-1,1)</f>
        <v>-38447.66176984601</v>
      </c>
      <c r="N149" s="6">
        <f ca="1">BlackScholes(OptType,"Delta",K149,Strike,time-G149,0,sigma,interestRate,dividend)*IF(Side="Short",-1,1)*units*optMult</f>
        <v>3434.0485581443977</v>
      </c>
      <c r="O149" s="6">
        <f ca="1">K149*EXP((interestRate-dividend)*(time-G149))</f>
        <v>120.1592673944224</v>
      </c>
      <c r="P149" s="19">
        <f>EXP((interestRate-dividend)*(time-G149))*futMult</f>
        <v>250</v>
      </c>
      <c r="Q149">
        <f t="shared" ca="1" si="21"/>
        <v>-13.73619423257759</v>
      </c>
      <c r="R149" s="32">
        <f t="shared" ca="1" si="25"/>
        <v>1.1008908378276985</v>
      </c>
      <c r="S149" s="17">
        <f t="shared" ca="1" si="26"/>
        <v>-13.73619423257759</v>
      </c>
      <c r="T149" s="24">
        <f t="shared" ca="1" si="27"/>
        <v>4308.0035278389914</v>
      </c>
      <c r="U149" s="24">
        <f t="shared" ca="1" si="28"/>
        <v>4191.9379660281029</v>
      </c>
      <c r="V149" s="24">
        <f ca="1">S148*(O149-O148)*futMult</f>
        <v>-4191.9379660281029</v>
      </c>
      <c r="W149" s="24">
        <f ca="1">T149+V149</f>
        <v>116.06556181088854</v>
      </c>
      <c r="X149" s="24">
        <f ca="1">X148+T149</f>
        <v>144760.38970448732</v>
      </c>
      <c r="Y149" s="24">
        <f t="shared" ca="1" si="29"/>
        <v>-50327.311467730608</v>
      </c>
      <c r="Z149" s="24"/>
    </row>
    <row r="150" spans="6:26" x14ac:dyDescent="0.25">
      <c r="F150" s="18">
        <f t="shared" si="22"/>
        <v>147</v>
      </c>
      <c r="G150">
        <f t="shared" si="20"/>
        <v>0.58333333333333337</v>
      </c>
      <c r="H150" s="8">
        <v>-2.0607389310447172E-2</v>
      </c>
      <c r="I150" s="8">
        <f ca="1">(interestRate-dividend-0.5*sigma^2)*1/252+sigma*SQRT(1/252)*_xlfn.NORM.S.INV(RAND())</f>
        <v>1.2226005987194134E-3</v>
      </c>
      <c r="J150" s="27">
        <f t="shared" ca="1" si="23"/>
        <v>120.306264027456</v>
      </c>
      <c r="K150" s="20">
        <f t="shared" ca="1" si="24"/>
        <v>120.306264027456</v>
      </c>
      <c r="L150" s="20">
        <f ca="1">BlackScholes(OptType,"Price",K150,Strike,time-G150,0,sigma,interestRate,dividend)</f>
        <v>3.7675152493442949</v>
      </c>
      <c r="M150" s="21">
        <f ca="1">L150*units*optMult*IF(Side="Short",-1,1)</f>
        <v>-37675.152493442947</v>
      </c>
      <c r="N150" s="6">
        <f ca="1">BlackScholes(OptType,"Delta",K150,Strike,time-G150,0,sigma,interestRate,dividend)*IF(Side="Short",-1,1)*units*optMult</f>
        <v>3394.5201138191374</v>
      </c>
      <c r="O150" s="6">
        <f ca="1">K150*EXP((interestRate-dividend)*(time-G150))</f>
        <v>120.306264027456</v>
      </c>
      <c r="P150" s="19">
        <f>EXP((interestRate-dividend)*(time-G150))*futMult</f>
        <v>250</v>
      </c>
      <c r="Q150">
        <f t="shared" ca="1" si="21"/>
        <v>-13.578080455276549</v>
      </c>
      <c r="R150" s="32">
        <f t="shared" ca="1" si="25"/>
        <v>0.15811377730104148</v>
      </c>
      <c r="S150" s="17">
        <f t="shared" ca="1" si="26"/>
        <v>-13.578080455276549</v>
      </c>
      <c r="T150" s="24">
        <f t="shared" ca="1" si="27"/>
        <v>772.50927640306327</v>
      </c>
      <c r="U150" s="24">
        <f t="shared" ca="1" si="28"/>
        <v>504.79357572109808</v>
      </c>
      <c r="V150" s="24">
        <f ca="1">S149*(O150-O149)*futMult</f>
        <v>-504.79357572109808</v>
      </c>
      <c r="W150" s="24">
        <f ca="1">T150+V150</f>
        <v>267.71570068196519</v>
      </c>
      <c r="X150" s="24">
        <f ca="1">X149+T150</f>
        <v>145532.89898089037</v>
      </c>
      <c r="Y150" s="24">
        <f t="shared" ca="1" si="29"/>
        <v>-50832.105043451709</v>
      </c>
      <c r="Z150" s="24"/>
    </row>
    <row r="151" spans="6:26" x14ac:dyDescent="0.25">
      <c r="F151" s="18">
        <f t="shared" si="22"/>
        <v>148</v>
      </c>
      <c r="G151">
        <f t="shared" si="20"/>
        <v>0.58730158730158732</v>
      </c>
      <c r="H151" s="8">
        <v>2.6383284969233652E-2</v>
      </c>
      <c r="I151" s="8">
        <f ca="1">(interestRate-dividend-0.5*sigma^2)*1/252+sigma*SQRT(1/252)*_xlfn.NORM.S.INV(RAND())</f>
        <v>-7.936995894054593E-3</v>
      </c>
      <c r="J151" s="27">
        <f t="shared" ca="1" si="23"/>
        <v>119.35517309913499</v>
      </c>
      <c r="K151" s="20">
        <f t="shared" ca="1" si="24"/>
        <v>119.35517309913499</v>
      </c>
      <c r="L151" s="20">
        <f ca="1">BlackScholes(OptType,"Price",K151,Strike,time-G151,0,sigma,interestRate,dividend)</f>
        <v>4.073574736079018</v>
      </c>
      <c r="M151" s="21">
        <f ca="1">L151*units*optMult*IF(Side="Short",-1,1)</f>
        <v>-40735.747360790177</v>
      </c>
      <c r="N151" s="6">
        <f ca="1">BlackScholes(OptType,"Delta",K151,Strike,time-G151,0,sigma,interestRate,dividend)*IF(Side="Short",-1,1)*units*optMult</f>
        <v>3618.3721498010082</v>
      </c>
      <c r="O151" s="6">
        <f ca="1">K151*EXP((interestRate-dividend)*(time-G151))</f>
        <v>119.35517309913499</v>
      </c>
      <c r="P151" s="19">
        <f>EXP((interestRate-dividend)*(time-G151))*futMult</f>
        <v>250</v>
      </c>
      <c r="Q151">
        <f t="shared" ca="1" si="21"/>
        <v>-14.473488599204032</v>
      </c>
      <c r="R151" s="32">
        <f t="shared" ca="1" si="25"/>
        <v>-0.89540814392748302</v>
      </c>
      <c r="S151" s="17">
        <f t="shared" ca="1" si="26"/>
        <v>-14.473488599204032</v>
      </c>
      <c r="T151" s="24">
        <f t="shared" ca="1" si="27"/>
        <v>-3060.5948673472303</v>
      </c>
      <c r="U151" s="24">
        <f t="shared" ca="1" si="28"/>
        <v>-3228.4972862565778</v>
      </c>
      <c r="V151" s="24">
        <f ca="1">S150*(O151-O150)*futMult</f>
        <v>3228.4972862565778</v>
      </c>
      <c r="W151" s="24">
        <f ca="1">T151+V151</f>
        <v>167.90241890934749</v>
      </c>
      <c r="X151" s="24">
        <f ca="1">X150+T151</f>
        <v>142472.30411354313</v>
      </c>
      <c r="Y151" s="24">
        <f t="shared" ca="1" si="29"/>
        <v>-47603.607757195132</v>
      </c>
      <c r="Z151" s="24"/>
    </row>
    <row r="152" spans="6:26" x14ac:dyDescent="0.25">
      <c r="F152" s="18">
        <f t="shared" si="22"/>
        <v>149</v>
      </c>
      <c r="G152">
        <f t="shared" si="20"/>
        <v>0.59126984126984128</v>
      </c>
      <c r="H152" s="8">
        <v>1.9121655962940617E-2</v>
      </c>
      <c r="I152" s="8">
        <f ca="1">(interestRate-dividend-0.5*sigma^2)*1/252+sigma*SQRT(1/252)*_xlfn.NORM.S.INV(RAND())</f>
        <v>7.5867974370222102E-3</v>
      </c>
      <c r="J152" s="27">
        <f t="shared" ca="1" si="23"/>
        <v>120.26414033567868</v>
      </c>
      <c r="K152" s="20">
        <f t="shared" ca="1" si="24"/>
        <v>120.26414033567868</v>
      </c>
      <c r="L152" s="20">
        <f ca="1">BlackScholes(OptType,"Price",K152,Strike,time-G152,0,sigma,interestRate,dividend)</f>
        <v>3.7273979197591003</v>
      </c>
      <c r="M152" s="21">
        <f ca="1">L152*units*optMult*IF(Side="Short",-1,1)</f>
        <v>-37273.979197590998</v>
      </c>
      <c r="N152" s="6">
        <f ca="1">BlackScholes(OptType,"Delta",K152,Strike,time-G152,0,sigma,interestRate,dividend)*IF(Side="Short",-1,1)*units*optMult</f>
        <v>3394.4488368315911</v>
      </c>
      <c r="O152" s="6">
        <f ca="1">K152*EXP((interestRate-dividend)*(time-G152))</f>
        <v>120.26414033567868</v>
      </c>
      <c r="P152" s="19">
        <f>EXP((interestRate-dividend)*(time-G152))*futMult</f>
        <v>250</v>
      </c>
      <c r="Q152">
        <f t="shared" ca="1" si="21"/>
        <v>-13.577795347326365</v>
      </c>
      <c r="R152" s="32">
        <f t="shared" ca="1" si="25"/>
        <v>0.8956932518776668</v>
      </c>
      <c r="S152" s="17">
        <f t="shared" ca="1" si="26"/>
        <v>-13.577795347326365</v>
      </c>
      <c r="T152" s="24">
        <f t="shared" ca="1" si="27"/>
        <v>3461.76816319918</v>
      </c>
      <c r="U152" s="24">
        <f t="shared" ca="1" si="28"/>
        <v>3288.9817337912668</v>
      </c>
      <c r="V152" s="24">
        <f ca="1">S151*(O152-O151)*futMult</f>
        <v>-3288.9817337912664</v>
      </c>
      <c r="W152" s="24">
        <f ca="1">T152+V152</f>
        <v>172.7864294079136</v>
      </c>
      <c r="X152" s="24">
        <f ca="1">X151+T152</f>
        <v>145934.07227674231</v>
      </c>
      <c r="Y152" s="24">
        <f t="shared" ca="1" si="29"/>
        <v>-50892.5894909864</v>
      </c>
      <c r="Z152" s="24"/>
    </row>
    <row r="153" spans="6:26" x14ac:dyDescent="0.25">
      <c r="F153" s="18">
        <f t="shared" si="22"/>
        <v>150</v>
      </c>
      <c r="G153">
        <f t="shared" si="20"/>
        <v>0.59523809523809523</v>
      </c>
      <c r="H153" s="8">
        <v>-3.9797827563932907E-4</v>
      </c>
      <c r="I153" s="8">
        <f ca="1">(interestRate-dividend-0.5*sigma^2)*1/252+sigma*SQRT(1/252)*_xlfn.NORM.S.INV(RAND())</f>
        <v>-7.9987870037397414E-3</v>
      </c>
      <c r="J153" s="27">
        <f t="shared" ca="1" si="23"/>
        <v>119.30601014109266</v>
      </c>
      <c r="K153" s="20">
        <f t="shared" ca="1" si="24"/>
        <v>119.30601014109266</v>
      </c>
      <c r="L153" s="20">
        <f ca="1">BlackScholes(OptType,"Price",K153,Strike,time-G153,0,sigma,interestRate,dividend)</f>
        <v>4.0358449789386848</v>
      </c>
      <c r="M153" s="21">
        <f ca="1">L153*units*optMult*IF(Side="Short",-1,1)</f>
        <v>-40358.449789386854</v>
      </c>
      <c r="N153" s="6">
        <f ca="1">BlackScholes(OptType,"Delta",K153,Strike,time-G153,0,sigma,interestRate,dividend)*IF(Side="Short",-1,1)*units*optMult</f>
        <v>3622.2552850833572</v>
      </c>
      <c r="O153" s="6">
        <f ca="1">K153*EXP((interestRate-dividend)*(time-G153))</f>
        <v>119.30601014109266</v>
      </c>
      <c r="P153" s="19">
        <f>EXP((interestRate-dividend)*(time-G153))*futMult</f>
        <v>250</v>
      </c>
      <c r="Q153">
        <f t="shared" ca="1" si="21"/>
        <v>-14.489021140333429</v>
      </c>
      <c r="R153" s="32">
        <f t="shared" ca="1" si="25"/>
        <v>-0.91122579300706441</v>
      </c>
      <c r="S153" s="17">
        <f t="shared" ca="1" si="26"/>
        <v>-14.489021140333429</v>
      </c>
      <c r="T153" s="24">
        <f t="shared" ca="1" si="27"/>
        <v>-3084.4705917958563</v>
      </c>
      <c r="U153" s="24">
        <f t="shared" ca="1" si="28"/>
        <v>-3252.323924545738</v>
      </c>
      <c r="V153" s="24">
        <f ca="1">S152*(O153-O152)*futMult</f>
        <v>3252.3239245457385</v>
      </c>
      <c r="W153" s="24">
        <f ca="1">T153+V153</f>
        <v>167.85333274988216</v>
      </c>
      <c r="X153" s="24">
        <f ca="1">X152+T153</f>
        <v>142849.60168494645</v>
      </c>
      <c r="Y153" s="24">
        <f t="shared" ca="1" si="29"/>
        <v>-47640.265566440663</v>
      </c>
      <c r="Z153" s="24"/>
    </row>
    <row r="154" spans="6:26" x14ac:dyDescent="0.25">
      <c r="F154" s="18">
        <f t="shared" si="22"/>
        <v>151</v>
      </c>
      <c r="G154">
        <f t="shared" si="20"/>
        <v>0.59920634920634919</v>
      </c>
      <c r="H154" s="8">
        <v>9.5868895727237533E-3</v>
      </c>
      <c r="I154" s="8">
        <f ca="1">(interestRate-dividend-0.5*sigma^2)*1/252+sigma*SQRT(1/252)*_xlfn.NORM.S.INV(RAND())</f>
        <v>-8.8117829595402517E-3</v>
      </c>
      <c r="J154" s="27">
        <f t="shared" ca="1" si="23"/>
        <v>118.25932980659725</v>
      </c>
      <c r="K154" s="20">
        <f t="shared" ca="1" si="24"/>
        <v>118.25932980659725</v>
      </c>
      <c r="L154" s="20">
        <f ca="1">BlackScholes(OptType,"Price",K154,Strike,time-G154,0,sigma,interestRate,dividend)</f>
        <v>4.4003162415317689</v>
      </c>
      <c r="M154" s="21">
        <f ca="1">L154*units*optMult*IF(Side="Short",-1,1)</f>
        <v>-44003.162415317689</v>
      </c>
      <c r="N154" s="6">
        <f ca="1">BlackScholes(OptType,"Delta",K154,Strike,time-G154,0,sigma,interestRate,dividend)*IF(Side="Short",-1,1)*units*optMult</f>
        <v>3881.9135137821427</v>
      </c>
      <c r="O154" s="6">
        <f ca="1">K154*EXP((interestRate-dividend)*(time-G154))</f>
        <v>118.25932980659725</v>
      </c>
      <c r="P154" s="19">
        <f>EXP((interestRate-dividend)*(time-G154))*futMult</f>
        <v>250</v>
      </c>
      <c r="Q154">
        <f t="shared" ca="1" si="21"/>
        <v>-15.52765405512857</v>
      </c>
      <c r="R154" s="32">
        <f t="shared" ca="1" si="25"/>
        <v>-1.0386329147951407</v>
      </c>
      <c r="S154" s="17">
        <f t="shared" ca="1" si="26"/>
        <v>-15.52765405512857</v>
      </c>
      <c r="T154" s="24">
        <f t="shared" ca="1" si="27"/>
        <v>-3644.7126259308352</v>
      </c>
      <c r="U154" s="24">
        <f t="shared" ca="1" si="28"/>
        <v>-3791.3433734188002</v>
      </c>
      <c r="V154" s="24">
        <f ca="1">S153*(O154-O153)*futMult</f>
        <v>3791.3433734188002</v>
      </c>
      <c r="W154" s="24">
        <f ca="1">T154+V154</f>
        <v>146.63074748796498</v>
      </c>
      <c r="X154" s="24">
        <f ca="1">X153+T154</f>
        <v>139204.88905901561</v>
      </c>
      <c r="Y154" s="24">
        <f t="shared" ca="1" si="29"/>
        <v>-43848.922193021863</v>
      </c>
      <c r="Z154" s="24"/>
    </row>
    <row r="155" spans="6:26" x14ac:dyDescent="0.25">
      <c r="F155" s="18">
        <f t="shared" si="22"/>
        <v>152</v>
      </c>
      <c r="G155">
        <f t="shared" si="20"/>
        <v>0.60317460317460314</v>
      </c>
      <c r="H155" s="8">
        <v>1.3237964047164123E-2</v>
      </c>
      <c r="I155" s="8">
        <f ca="1">(interestRate-dividend-0.5*sigma^2)*1/252+sigma*SQRT(1/252)*_xlfn.NORM.S.INV(RAND())</f>
        <v>-7.4067169328650602E-3</v>
      </c>
      <c r="J155" s="27">
        <f t="shared" ca="1" si="23"/>
        <v>117.38665225340219</v>
      </c>
      <c r="K155" s="20">
        <f t="shared" ca="1" si="24"/>
        <v>117.38665225340219</v>
      </c>
      <c r="L155" s="20">
        <f ca="1">BlackScholes(OptType,"Price",K155,Strike,time-G155,0,sigma,interestRate,dividend)</f>
        <v>4.7202153407697045</v>
      </c>
      <c r="M155" s="21">
        <f ca="1">L155*units*optMult*IF(Side="Short",-1,1)</f>
        <v>-47202.153407697042</v>
      </c>
      <c r="N155" s="6">
        <f ca="1">BlackScholes(OptType,"Delta",K155,Strike,time-G155,0,sigma,interestRate,dividend)*IF(Side="Short",-1,1)*units*optMult</f>
        <v>4105.8755403392088</v>
      </c>
      <c r="O155" s="6">
        <f ca="1">K155*EXP((interestRate-dividend)*(time-G155))</f>
        <v>117.38665225340219</v>
      </c>
      <c r="P155" s="19">
        <f>EXP((interestRate-dividend)*(time-G155))*futMult</f>
        <v>250</v>
      </c>
      <c r="Q155">
        <f t="shared" ca="1" si="21"/>
        <v>-16.423502161356836</v>
      </c>
      <c r="R155" s="32">
        <f t="shared" ca="1" si="25"/>
        <v>-0.89584810622826616</v>
      </c>
      <c r="S155" s="17">
        <f t="shared" ca="1" si="26"/>
        <v>-16.423502161356836</v>
      </c>
      <c r="T155" s="24">
        <f t="shared" ca="1" si="27"/>
        <v>-3198.990992379353</v>
      </c>
      <c r="U155" s="24">
        <f t="shared" ca="1" si="28"/>
        <v>-3387.6587869222412</v>
      </c>
      <c r="V155" s="24">
        <f ca="1">S154*(O155-O154)*futMult</f>
        <v>3387.6587869222412</v>
      </c>
      <c r="W155" s="24">
        <f ca="1">T155+V155</f>
        <v>188.66779454288826</v>
      </c>
      <c r="X155" s="24">
        <f ca="1">X154+T155</f>
        <v>136005.89806663626</v>
      </c>
      <c r="Y155" s="24">
        <f t="shared" ca="1" si="29"/>
        <v>-40461.263406099621</v>
      </c>
      <c r="Z155" s="24"/>
    </row>
    <row r="156" spans="6:26" x14ac:dyDescent="0.25">
      <c r="F156" s="18">
        <f t="shared" si="22"/>
        <v>153</v>
      </c>
      <c r="G156">
        <f t="shared" si="20"/>
        <v>0.6071428571428571</v>
      </c>
      <c r="H156" s="8">
        <v>8.6003706805202265E-3</v>
      </c>
      <c r="I156" s="8">
        <f ca="1">(interestRate-dividend-0.5*sigma^2)*1/252+sigma*SQRT(1/252)*_xlfn.NORM.S.INV(RAND())</f>
        <v>-4.1022747892816534E-3</v>
      </c>
      <c r="J156" s="27">
        <f t="shared" ca="1" si="23"/>
        <v>116.90608632994089</v>
      </c>
      <c r="K156" s="20">
        <f t="shared" ca="1" si="24"/>
        <v>116.90608632994089</v>
      </c>
      <c r="L156" s="20">
        <f ca="1">BlackScholes(OptType,"Price",K156,Strike,time-G156,0,sigma,interestRate,dividend)</f>
        <v>4.8916709561287437</v>
      </c>
      <c r="M156" s="21">
        <f ca="1">L156*units*optMult*IF(Side="Short",-1,1)</f>
        <v>-48916.70956128744</v>
      </c>
      <c r="N156" s="6">
        <f ca="1">BlackScholes(OptType,"Delta",K156,Strike,time-G156,0,sigma,interestRate,dividend)*IF(Side="Short",-1,1)*units*optMult</f>
        <v>4231.6052689955686</v>
      </c>
      <c r="O156" s="6">
        <f ca="1">K156*EXP((interestRate-dividend)*(time-G156))</f>
        <v>116.90608632994089</v>
      </c>
      <c r="P156" s="19">
        <f>EXP((interestRate-dividend)*(time-G156))*futMult</f>
        <v>250</v>
      </c>
      <c r="Q156">
        <f t="shared" ca="1" si="21"/>
        <v>-16.926421075982276</v>
      </c>
      <c r="R156" s="32">
        <f t="shared" ca="1" si="25"/>
        <v>-0.50291891462543958</v>
      </c>
      <c r="S156" s="17">
        <f t="shared" ca="1" si="26"/>
        <v>-16.926421075982276</v>
      </c>
      <c r="T156" s="24">
        <f t="shared" ca="1" si="27"/>
        <v>-1714.556153590398</v>
      </c>
      <c r="U156" s="24">
        <f t="shared" ca="1" si="28"/>
        <v>-1973.1438706602714</v>
      </c>
      <c r="V156" s="24">
        <f ca="1">S155*(O156-O155)*futMult</f>
        <v>1973.1438706602714</v>
      </c>
      <c r="W156" s="24">
        <f ca="1">T156+V156</f>
        <v>258.58771706987341</v>
      </c>
      <c r="X156" s="24">
        <f ca="1">X155+T156</f>
        <v>134291.34191304585</v>
      </c>
      <c r="Y156" s="24">
        <f t="shared" ca="1" si="29"/>
        <v>-38488.119535439349</v>
      </c>
      <c r="Z156" s="24"/>
    </row>
    <row r="157" spans="6:26" x14ac:dyDescent="0.25">
      <c r="F157" s="18">
        <f t="shared" si="22"/>
        <v>154</v>
      </c>
      <c r="G157">
        <f t="shared" si="20"/>
        <v>0.61111111111111116</v>
      </c>
      <c r="H157" s="8">
        <v>1.8724992056142906E-2</v>
      </c>
      <c r="I157" s="8">
        <f ca="1">(interestRate-dividend-0.5*sigma^2)*1/252+sigma*SQRT(1/252)*_xlfn.NORM.S.INV(RAND())</f>
        <v>-1.3504160951557143E-2</v>
      </c>
      <c r="J157" s="27">
        <f t="shared" ca="1" si="23"/>
        <v>115.33797953741507</v>
      </c>
      <c r="K157" s="20">
        <f t="shared" ca="1" si="24"/>
        <v>115.33797953741507</v>
      </c>
      <c r="L157" s="20">
        <f ca="1">BlackScholes(OptType,"Price",K157,Strike,time-G157,0,sigma,interestRate,dividend)</f>
        <v>5.5593268528642472</v>
      </c>
      <c r="M157" s="21">
        <f ca="1">L157*units*optMult*IF(Side="Short",-1,1)</f>
        <v>-55593.268528642475</v>
      </c>
      <c r="N157" s="6">
        <f ca="1">BlackScholes(OptType,"Delta",K157,Strike,time-G157,0,sigma,interestRate,dividend)*IF(Side="Short",-1,1)*units*optMult</f>
        <v>4657.7675552676574</v>
      </c>
      <c r="O157" s="6">
        <f ca="1">K157*EXP((interestRate-dividend)*(time-G157))</f>
        <v>115.33797953741507</v>
      </c>
      <c r="P157" s="19">
        <f>EXP((interestRate-dividend)*(time-G157))*futMult</f>
        <v>250</v>
      </c>
      <c r="Q157">
        <f t="shared" ca="1" si="21"/>
        <v>-18.63107022107063</v>
      </c>
      <c r="R157" s="32">
        <f t="shared" ca="1" si="25"/>
        <v>-1.7046491450883536</v>
      </c>
      <c r="S157" s="17">
        <f t="shared" ca="1" si="26"/>
        <v>-18.63107022107063</v>
      </c>
      <c r="T157" s="24">
        <f t="shared" ca="1" si="27"/>
        <v>-6676.5589673550348</v>
      </c>
      <c r="U157" s="24">
        <f t="shared" ca="1" si="28"/>
        <v>-6635.6089656000213</v>
      </c>
      <c r="V157" s="24">
        <f ca="1">S156*(O157-O156)*futMult</f>
        <v>6635.6089656000213</v>
      </c>
      <c r="W157" s="24">
        <f ca="1">T157+V157</f>
        <v>-40.950001755013545</v>
      </c>
      <c r="X157" s="24">
        <f ca="1">X156+T157</f>
        <v>127614.78294569082</v>
      </c>
      <c r="Y157" s="24">
        <f t="shared" ca="1" si="29"/>
        <v>-31852.510569839327</v>
      </c>
      <c r="Z157" s="24"/>
    </row>
    <row r="158" spans="6:26" x14ac:dyDescent="0.25">
      <c r="F158" s="18">
        <f t="shared" si="22"/>
        <v>155</v>
      </c>
      <c r="G158">
        <f t="shared" si="20"/>
        <v>0.61507936507936511</v>
      </c>
      <c r="H158" s="8">
        <v>-1.0044982110680674E-2</v>
      </c>
      <c r="I158" s="8">
        <f ca="1">(interestRate-dividend-0.5*sigma^2)*1/252+sigma*SQRT(1/252)*_xlfn.NORM.S.INV(RAND())</f>
        <v>-9.01073070592006E-3</v>
      </c>
      <c r="J158" s="27">
        <f t="shared" ca="1" si="23"/>
        <v>114.3033683652464</v>
      </c>
      <c r="K158" s="20">
        <f t="shared" ca="1" si="24"/>
        <v>114.3033683652464</v>
      </c>
      <c r="L158" s="20">
        <f ca="1">BlackScholes(OptType,"Price",K158,Strike,time-G158,0,sigma,interestRate,dividend)</f>
        <v>6.0269925893000336</v>
      </c>
      <c r="M158" s="21">
        <f ca="1">L158*units*optMult*IF(Side="Short",-1,1)</f>
        <v>-60269.925893000334</v>
      </c>
      <c r="N158" s="6">
        <f ca="1">BlackScholes(OptType,"Delta",K158,Strike,time-G158,0,sigma,interestRate,dividend)*IF(Side="Short",-1,1)*units*optMult</f>
        <v>4947.8421416244</v>
      </c>
      <c r="O158" s="6">
        <f ca="1">K158*EXP((interestRate-dividend)*(time-G158))</f>
        <v>114.3033683652464</v>
      </c>
      <c r="P158" s="19">
        <f>EXP((interestRate-dividend)*(time-G158))*futMult</f>
        <v>250</v>
      </c>
      <c r="Q158">
        <f t="shared" ca="1" si="21"/>
        <v>-19.791368566497599</v>
      </c>
      <c r="R158" s="32">
        <f t="shared" ca="1" si="25"/>
        <v>-1.1602983454269697</v>
      </c>
      <c r="S158" s="17">
        <f t="shared" ca="1" si="26"/>
        <v>-19.791368566497599</v>
      </c>
      <c r="T158" s="24">
        <f t="shared" ca="1" si="27"/>
        <v>-4676.6573643578595</v>
      </c>
      <c r="U158" s="24">
        <f t="shared" ca="1" si="28"/>
        <v>-4818.9783500446565</v>
      </c>
      <c r="V158" s="24">
        <f ca="1">S157*(O158-O157)*futMult</f>
        <v>4818.9783500446565</v>
      </c>
      <c r="W158" s="24">
        <f ca="1">T158+V158</f>
        <v>142.32098568679703</v>
      </c>
      <c r="X158" s="24">
        <f ca="1">X157+T158</f>
        <v>122938.12558133296</v>
      </c>
      <c r="Y158" s="24">
        <f t="shared" ca="1" si="29"/>
        <v>-27033.53221979467</v>
      </c>
      <c r="Z158" s="24"/>
    </row>
    <row r="159" spans="6:26" x14ac:dyDescent="0.25">
      <c r="F159" s="18">
        <f t="shared" si="22"/>
        <v>156</v>
      </c>
      <c r="G159">
        <f t="shared" si="20"/>
        <v>0.61904761904761907</v>
      </c>
      <c r="H159" s="8">
        <v>-4.3214912627867939E-2</v>
      </c>
      <c r="I159" s="8">
        <f ca="1">(interestRate-dividend-0.5*sigma^2)*1/252+sigma*SQRT(1/252)*_xlfn.NORM.S.INV(RAND())</f>
        <v>-5.6463186915933893E-3</v>
      </c>
      <c r="J159" s="27">
        <f t="shared" ca="1" si="23"/>
        <v>113.65979374345325</v>
      </c>
      <c r="K159" s="20">
        <f t="shared" ca="1" si="24"/>
        <v>113.65979374345325</v>
      </c>
      <c r="L159" s="20">
        <f ca="1">BlackScholes(OptType,"Price",K159,Strike,time-G159,0,sigma,interestRate,dividend)</f>
        <v>6.3221972119933429</v>
      </c>
      <c r="M159" s="21">
        <f ca="1">L159*units*optMult*IF(Side="Short",-1,1)</f>
        <v>-63221.972119933431</v>
      </c>
      <c r="N159" s="6">
        <f ca="1">BlackScholes(OptType,"Delta",K159,Strike,time-G159,0,sigma,interestRate,dividend)*IF(Side="Short",-1,1)*units*optMult</f>
        <v>5132.5880317441033</v>
      </c>
      <c r="O159" s="6">
        <f ca="1">K159*EXP((interestRate-dividend)*(time-G159))</f>
        <v>113.65979374345325</v>
      </c>
      <c r="P159" s="19">
        <f>EXP((interestRate-dividend)*(time-G159))*futMult</f>
        <v>250</v>
      </c>
      <c r="Q159">
        <f t="shared" ca="1" si="21"/>
        <v>-20.530352126976414</v>
      </c>
      <c r="R159" s="32">
        <f t="shared" ca="1" si="25"/>
        <v>-0.73898356047881464</v>
      </c>
      <c r="S159" s="17">
        <f t="shared" ca="1" si="26"/>
        <v>-20.530352126976414</v>
      </c>
      <c r="T159" s="24">
        <f t="shared" ca="1" si="27"/>
        <v>-2952.0462269330965</v>
      </c>
      <c r="U159" s="24">
        <f t="shared" ca="1" si="28"/>
        <v>-3184.3056349881299</v>
      </c>
      <c r="V159" s="24">
        <f ca="1">S158*(O159-O158)*futMult</f>
        <v>3184.3056349881299</v>
      </c>
      <c r="W159" s="24">
        <f ca="1">T159+V159</f>
        <v>232.25940805503342</v>
      </c>
      <c r="X159" s="24">
        <f ca="1">X158+T159</f>
        <v>119986.07935439987</v>
      </c>
      <c r="Y159" s="24">
        <f t="shared" ca="1" si="29"/>
        <v>-23849.22658480654</v>
      </c>
      <c r="Z159" s="24"/>
    </row>
    <row r="160" spans="6:26" x14ac:dyDescent="0.25">
      <c r="F160" s="18">
        <f t="shared" si="22"/>
        <v>157</v>
      </c>
      <c r="G160">
        <f t="shared" si="20"/>
        <v>0.62301587301587302</v>
      </c>
      <c r="H160" s="8">
        <v>-4.7927151648306348E-4</v>
      </c>
      <c r="I160" s="8">
        <f ca="1">(interestRate-dividend-0.5*sigma^2)*1/252+sigma*SQRT(1/252)*_xlfn.NORM.S.INV(RAND())</f>
        <v>-7.5641988672310711E-3</v>
      </c>
      <c r="J160" s="27">
        <f t="shared" ca="1" si="23"/>
        <v>112.80329191930892</v>
      </c>
      <c r="K160" s="20">
        <f t="shared" ca="1" si="24"/>
        <v>112.80329191930892</v>
      </c>
      <c r="L160" s="20">
        <f ca="1">BlackScholes(OptType,"Price",K160,Strike,time-G160,0,sigma,interestRate,dividend)</f>
        <v>6.7433659545581497</v>
      </c>
      <c r="M160" s="21">
        <f ca="1">L160*units*optMult*IF(Side="Short",-1,1)</f>
        <v>-67433.659545581497</v>
      </c>
      <c r="N160" s="6">
        <f ca="1">BlackScholes(OptType,"Delta",K160,Strike,time-G160,0,sigma,interestRate,dividend)*IF(Side="Short",-1,1)*units*optMult</f>
        <v>5381.048903374457</v>
      </c>
      <c r="O160" s="6">
        <f ca="1">K160*EXP((interestRate-dividend)*(time-G160))</f>
        <v>112.80329191930892</v>
      </c>
      <c r="P160" s="19">
        <f>EXP((interestRate-dividend)*(time-G160))*futMult</f>
        <v>250</v>
      </c>
      <c r="Q160">
        <f t="shared" ca="1" si="21"/>
        <v>-21.524195613497827</v>
      </c>
      <c r="R160" s="32">
        <f t="shared" ca="1" si="25"/>
        <v>-0.99384348652141341</v>
      </c>
      <c r="S160" s="17">
        <f t="shared" ca="1" si="26"/>
        <v>-21.524195613497827</v>
      </c>
      <c r="T160" s="24">
        <f t="shared" ca="1" si="27"/>
        <v>-4211.687425648066</v>
      </c>
      <c r="U160" s="24">
        <f t="shared" ca="1" si="28"/>
        <v>-4396.0710117701865</v>
      </c>
      <c r="V160" s="24">
        <f ca="1">S159*(O160-O159)*futMult</f>
        <v>4396.0710117701865</v>
      </c>
      <c r="W160" s="24">
        <f ca="1">T160+V160</f>
        <v>184.38358612212051</v>
      </c>
      <c r="X160" s="24">
        <f ca="1">X159+T160</f>
        <v>115774.39192875181</v>
      </c>
      <c r="Y160" s="24">
        <f t="shared" ca="1" si="29"/>
        <v>-19453.155573036354</v>
      </c>
      <c r="Z160" s="24"/>
    </row>
    <row r="161" spans="6:26" x14ac:dyDescent="0.25">
      <c r="F161" s="18">
        <f t="shared" si="22"/>
        <v>158</v>
      </c>
      <c r="G161">
        <f t="shared" si="20"/>
        <v>0.62698412698412698</v>
      </c>
      <c r="H161" s="8">
        <v>-5.2872028959190511E-3</v>
      </c>
      <c r="I161" s="8">
        <f ca="1">(interestRate-dividend-0.5*sigma^2)*1/252+sigma*SQRT(1/252)*_xlfn.NORM.S.INV(RAND())</f>
        <v>-7.4523792925117798E-3</v>
      </c>
      <c r="J161" s="27">
        <f t="shared" ca="1" si="23"/>
        <v>111.96576366779529</v>
      </c>
      <c r="K161" s="20">
        <f t="shared" ca="1" si="24"/>
        <v>111.96576366779529</v>
      </c>
      <c r="L161" s="20">
        <f ca="1">BlackScholes(OptType,"Price",K161,Strike,time-G161,0,sigma,interestRate,dividend)</f>
        <v>7.1755108247256434</v>
      </c>
      <c r="M161" s="21">
        <f ca="1">L161*units*optMult*IF(Side="Short",-1,1)</f>
        <v>-71755.10824725643</v>
      </c>
      <c r="N161" s="6">
        <f ca="1">BlackScholes(OptType,"Delta",K161,Strike,time-G161,0,sigma,interestRate,dividend)*IF(Side="Short",-1,1)*units*optMult</f>
        <v>5627.0373492493572</v>
      </c>
      <c r="O161" s="6">
        <f ca="1">K161*EXP((interestRate-dividend)*(time-G161))</f>
        <v>111.96576366779529</v>
      </c>
      <c r="P161" s="19">
        <f>EXP((interestRate-dividend)*(time-G161))*futMult</f>
        <v>250</v>
      </c>
      <c r="Q161">
        <f t="shared" ca="1" si="21"/>
        <v>-22.508149396997428</v>
      </c>
      <c r="R161" s="32">
        <f t="shared" ca="1" si="25"/>
        <v>-0.98395378349960083</v>
      </c>
      <c r="S161" s="17">
        <f t="shared" ca="1" si="26"/>
        <v>-22.508149396997428</v>
      </c>
      <c r="T161" s="24">
        <f t="shared" ca="1" si="27"/>
        <v>-4321.4487016749335</v>
      </c>
      <c r="U161" s="24">
        <f t="shared" ca="1" si="28"/>
        <v>-4506.7804793525556</v>
      </c>
      <c r="V161" s="24">
        <f ca="1">S160*(O161-O160)*futMult</f>
        <v>4506.7804793525556</v>
      </c>
      <c r="W161" s="24">
        <f ca="1">T161+V161</f>
        <v>185.33177767762209</v>
      </c>
      <c r="X161" s="24">
        <f ca="1">X160+T161</f>
        <v>111452.94322707687</v>
      </c>
      <c r="Y161" s="24">
        <f t="shared" ca="1" si="29"/>
        <v>-14946.375093683799</v>
      </c>
      <c r="Z161" s="24"/>
    </row>
    <row r="162" spans="6:26" x14ac:dyDescent="0.25">
      <c r="F162" s="18">
        <f t="shared" si="22"/>
        <v>159</v>
      </c>
      <c r="G162">
        <f t="shared" si="20"/>
        <v>0.63095238095238093</v>
      </c>
      <c r="H162" s="8">
        <v>-1.3993029712013801E-2</v>
      </c>
      <c r="I162" s="8">
        <f ca="1">(interestRate-dividend-0.5*sigma^2)*1/252+sigma*SQRT(1/252)*_xlfn.NORM.S.INV(RAND())</f>
        <v>-1.5815690859536602E-2</v>
      </c>
      <c r="J162" s="27">
        <f t="shared" ca="1" si="23"/>
        <v>110.20887756805175</v>
      </c>
      <c r="K162" s="20">
        <f t="shared" ca="1" si="24"/>
        <v>110.20887756805175</v>
      </c>
      <c r="L162" s="20">
        <f ca="1">BlackScholes(OptType,"Price",K162,Strike,time-G162,0,sigma,interestRate,dividend)</f>
        <v>8.1809721800395181</v>
      </c>
      <c r="M162" s="21">
        <f ca="1">L162*units*optMult*IF(Side="Short",-1,1)</f>
        <v>-81809.721800395186</v>
      </c>
      <c r="N162" s="6">
        <f ca="1">BlackScholes(OptType,"Delta",K162,Strike,time-G162,0,sigma,interestRate,dividend)*IF(Side="Short",-1,1)*units*optMult</f>
        <v>6139.0024832178415</v>
      </c>
      <c r="O162" s="6">
        <f ca="1">K162*EXP((interestRate-dividend)*(time-G162))</f>
        <v>110.20887756805175</v>
      </c>
      <c r="P162" s="19">
        <f>EXP((interestRate-dividend)*(time-G162))*futMult</f>
        <v>250</v>
      </c>
      <c r="Q162">
        <f t="shared" ca="1" si="21"/>
        <v>-24.556009932871365</v>
      </c>
      <c r="R162" s="32">
        <f t="shared" ca="1" si="25"/>
        <v>-2.0478605358739372</v>
      </c>
      <c r="S162" s="17">
        <f t="shared" ca="1" si="26"/>
        <v>-24.556009932871365</v>
      </c>
      <c r="T162" s="24">
        <f t="shared" ca="1" si="27"/>
        <v>-10054.613553138755</v>
      </c>
      <c r="U162" s="24">
        <f t="shared" ca="1" si="28"/>
        <v>-9886.0637016339278</v>
      </c>
      <c r="V162" s="24">
        <f ca="1">S161*(O162-O161)*futMult</f>
        <v>9886.0637016339278</v>
      </c>
      <c r="W162" s="24">
        <f ca="1">T162+V162</f>
        <v>-168.54985150482753</v>
      </c>
      <c r="X162" s="24">
        <f ca="1">X161+T162</f>
        <v>101398.32967393812</v>
      </c>
      <c r="Y162" s="24">
        <f t="shared" ca="1" si="29"/>
        <v>-5060.3113920498708</v>
      </c>
      <c r="Z162" s="24"/>
    </row>
    <row r="163" spans="6:26" x14ac:dyDescent="0.25">
      <c r="F163" s="18">
        <f t="shared" si="22"/>
        <v>160</v>
      </c>
      <c r="G163">
        <f t="shared" si="20"/>
        <v>0.63492063492063489</v>
      </c>
      <c r="H163" s="8">
        <v>4.9563375887440534E-3</v>
      </c>
      <c r="I163" s="8">
        <f ca="1">(interestRate-dividend-0.5*sigma^2)*1/252+sigma*SQRT(1/252)*_xlfn.NORM.S.INV(RAND())</f>
        <v>-7.4325514141687738E-3</v>
      </c>
      <c r="J163" s="27">
        <f t="shared" ca="1" si="23"/>
        <v>109.39278101597331</v>
      </c>
      <c r="K163" s="20">
        <f t="shared" ca="1" si="24"/>
        <v>109.39278101597331</v>
      </c>
      <c r="L163" s="20">
        <f ca="1">BlackScholes(OptType,"Price",K163,Strike,time-G163,0,sigma,interestRate,dividend)</f>
        <v>8.6645852032188806</v>
      </c>
      <c r="M163" s="21">
        <f ca="1">L163*units*optMult*IF(Side="Short",-1,1)</f>
        <v>-86645.852032188806</v>
      </c>
      <c r="N163" s="6">
        <f ca="1">BlackScholes(OptType,"Delta",K163,Strike,time-G163,0,sigma,interestRate,dividend)*IF(Side="Short",-1,1)*units*optMult</f>
        <v>6380.4216742502558</v>
      </c>
      <c r="O163" s="6">
        <f ca="1">K163*EXP((interestRate-dividend)*(time-G163))</f>
        <v>109.39278101597331</v>
      </c>
      <c r="P163" s="19">
        <f>EXP((interestRate-dividend)*(time-G163))*futMult</f>
        <v>250</v>
      </c>
      <c r="Q163">
        <f t="shared" ca="1" si="21"/>
        <v>-25.521686697001023</v>
      </c>
      <c r="R163" s="32">
        <f t="shared" ca="1" si="25"/>
        <v>-0.96567676412965753</v>
      </c>
      <c r="S163" s="17">
        <f t="shared" ca="1" si="26"/>
        <v>-25.521686697001023</v>
      </c>
      <c r="T163" s="24">
        <f t="shared" ca="1" si="27"/>
        <v>-4836.1302317936206</v>
      </c>
      <c r="U163" s="24">
        <f t="shared" ca="1" si="28"/>
        <v>-5010.0187597550275</v>
      </c>
      <c r="V163" s="24">
        <f ca="1">S162*(O163-O162)*futMult</f>
        <v>5010.0187597550275</v>
      </c>
      <c r="W163" s="24">
        <f ca="1">T163+V163</f>
        <v>173.88852796140691</v>
      </c>
      <c r="X163" s="24">
        <f ca="1">X162+T163</f>
        <v>96562.199442144498</v>
      </c>
      <c r="Y163" s="24">
        <f t="shared" ca="1" si="29"/>
        <v>-50.292632294843315</v>
      </c>
      <c r="Z163" s="24"/>
    </row>
    <row r="164" spans="6:26" x14ac:dyDescent="0.25">
      <c r="F164" s="18">
        <f t="shared" si="22"/>
        <v>161</v>
      </c>
      <c r="G164">
        <f t="shared" si="20"/>
        <v>0.63888888888888884</v>
      </c>
      <c r="H164" s="8">
        <v>-3.1659725271734377E-3</v>
      </c>
      <c r="I164" s="8">
        <f ca="1">(interestRate-dividend-0.5*sigma^2)*1/252+sigma*SQRT(1/252)*_xlfn.NORM.S.INV(RAND())</f>
        <v>1.0558535641418929E-2</v>
      </c>
      <c r="J164" s="27">
        <f t="shared" ca="1" si="23"/>
        <v>110.55392781086127</v>
      </c>
      <c r="K164" s="20">
        <f t="shared" ca="1" si="24"/>
        <v>110.55392781086127</v>
      </c>
      <c r="L164" s="20">
        <f ca="1">BlackScholes(OptType,"Price",K164,Strike,time-G164,0,sigma,interestRate,dividend)</f>
        <v>7.9149276375331734</v>
      </c>
      <c r="M164" s="21">
        <f ca="1">L164*units*optMult*IF(Side="Short",-1,1)</f>
        <v>-79149.276375331741</v>
      </c>
      <c r="N164" s="6">
        <f ca="1">BlackScholes(OptType,"Delta",K164,Strike,time-G164,0,sigma,interestRate,dividend)*IF(Side="Short",-1,1)*units*optMult</f>
        <v>6056.4034411562079</v>
      </c>
      <c r="O164" s="6">
        <f ca="1">K164*EXP((interestRate-dividend)*(time-G164))</f>
        <v>110.55392781086127</v>
      </c>
      <c r="P164" s="19">
        <f>EXP((interestRate-dividend)*(time-G164))*futMult</f>
        <v>250</v>
      </c>
      <c r="Q164">
        <f t="shared" ca="1" si="21"/>
        <v>-24.225613764624832</v>
      </c>
      <c r="R164" s="32">
        <f t="shared" ca="1" si="25"/>
        <v>1.296072932376191</v>
      </c>
      <c r="S164" s="17">
        <f t="shared" ca="1" si="26"/>
        <v>-24.225613764624832</v>
      </c>
      <c r="T164" s="24">
        <f t="shared" ca="1" si="27"/>
        <v>7496.575656857065</v>
      </c>
      <c r="U164" s="24">
        <f t="shared" ca="1" si="28"/>
        <v>7408.6061770893248</v>
      </c>
      <c r="V164" s="24">
        <f ca="1">S163*(O164-O163)*futMult</f>
        <v>-7408.6061770893248</v>
      </c>
      <c r="W164" s="24">
        <f ca="1">T164+V164</f>
        <v>87.969479767740268</v>
      </c>
      <c r="X164" s="24">
        <f ca="1">X163+T164</f>
        <v>104058.77509900156</v>
      </c>
      <c r="Y164" s="24">
        <f t="shared" ca="1" si="29"/>
        <v>-7458.8988093841681</v>
      </c>
      <c r="Z164" s="24"/>
    </row>
    <row r="165" spans="6:26" x14ac:dyDescent="0.25">
      <c r="F165" s="18">
        <f t="shared" si="22"/>
        <v>162</v>
      </c>
      <c r="G165">
        <f t="shared" si="20"/>
        <v>0.6428571428571429</v>
      </c>
      <c r="H165" s="8">
        <v>-5.0538092567423247E-3</v>
      </c>
      <c r="I165" s="8">
        <f ca="1">(interestRate-dividend-0.5*sigma^2)*1/252+sigma*SQRT(1/252)*_xlfn.NORM.S.INV(RAND())</f>
        <v>1.1526225145018614E-2</v>
      </c>
      <c r="J165" s="27">
        <f t="shared" ca="1" si="23"/>
        <v>111.83556932859857</v>
      </c>
      <c r="K165" s="20">
        <f t="shared" ca="1" si="24"/>
        <v>111.83556932859857</v>
      </c>
      <c r="L165" s="20">
        <f ca="1">BlackScholes(OptType,"Price",K165,Strike,time-G165,0,sigma,interestRate,dividend)</f>
        <v>7.1334928877274386</v>
      </c>
      <c r="M165" s="21">
        <f ca="1">L165*units*optMult*IF(Side="Short",-1,1)</f>
        <v>-71334.928877274389</v>
      </c>
      <c r="N165" s="6">
        <f ca="1">BlackScholes(OptType,"Delta",K165,Strike,time-G165,0,sigma,interestRate,dividend)*IF(Side="Short",-1,1)*units*optMult</f>
        <v>5689.4441247598434</v>
      </c>
      <c r="O165" s="6">
        <f ca="1">K165*EXP((interestRate-dividend)*(time-G165))</f>
        <v>111.83556932859857</v>
      </c>
      <c r="P165" s="19">
        <f>EXP((interestRate-dividend)*(time-G165))*futMult</f>
        <v>250</v>
      </c>
      <c r="Q165">
        <f t="shared" ca="1" si="21"/>
        <v>-22.757776499039373</v>
      </c>
      <c r="R165" s="32">
        <f t="shared" ca="1" si="25"/>
        <v>1.4678372655854588</v>
      </c>
      <c r="S165" s="17">
        <f t="shared" ca="1" si="26"/>
        <v>-22.757776499039373</v>
      </c>
      <c r="T165" s="24">
        <f t="shared" ca="1" si="27"/>
        <v>7814.3474980573519</v>
      </c>
      <c r="U165" s="24">
        <f t="shared" ca="1" si="28"/>
        <v>7762.1380983528416</v>
      </c>
      <c r="V165" s="24">
        <f ca="1">S164*(O165-O164)*futMult</f>
        <v>-7762.1380983528416</v>
      </c>
      <c r="W165" s="24">
        <f ca="1">T165+V165</f>
        <v>52.209399704510361</v>
      </c>
      <c r="X165" s="24">
        <f ca="1">X164+T165</f>
        <v>111873.12259705891</v>
      </c>
      <c r="Y165" s="24">
        <f t="shared" ca="1" si="29"/>
        <v>-15221.036907737009</v>
      </c>
      <c r="Z165" s="24"/>
    </row>
    <row r="166" spans="6:26" x14ac:dyDescent="0.25">
      <c r="F166" s="18">
        <f t="shared" si="22"/>
        <v>163</v>
      </c>
      <c r="G166">
        <f t="shared" si="20"/>
        <v>0.64682539682539686</v>
      </c>
      <c r="H166" s="8">
        <v>-8.7824260475723552E-3</v>
      </c>
      <c r="I166" s="8">
        <f ca="1">(interestRate-dividend-0.5*sigma^2)*1/252+sigma*SQRT(1/252)*_xlfn.NORM.S.INV(RAND())</f>
        <v>6.8738970211047051E-3</v>
      </c>
      <c r="J166" s="27">
        <f t="shared" ca="1" si="23"/>
        <v>112.60696372087493</v>
      </c>
      <c r="K166" s="20">
        <f t="shared" ca="1" si="24"/>
        <v>112.60696372087493</v>
      </c>
      <c r="L166" s="20">
        <f ca="1">BlackScholes(OptType,"Price",K166,Strike,time-G166,0,sigma,interestRate,dividend)</f>
        <v>6.6736559944112326</v>
      </c>
      <c r="M166" s="21">
        <f ca="1">L166*units*optMult*IF(Side="Short",-1,1)</f>
        <v>-66736.559944112319</v>
      </c>
      <c r="N166" s="6">
        <f ca="1">BlackScholes(OptType,"Delta",K166,Strike,time-G166,0,sigma,interestRate,dividend)*IF(Side="Short",-1,1)*units*optMult</f>
        <v>5467.6601589053234</v>
      </c>
      <c r="O166" s="6">
        <f ca="1">K166*EXP((interestRate-dividend)*(time-G166))</f>
        <v>112.60696372087493</v>
      </c>
      <c r="P166" s="19">
        <f>EXP((interestRate-dividend)*(time-G166))*futMult</f>
        <v>250</v>
      </c>
      <c r="Q166">
        <f t="shared" ca="1" si="21"/>
        <v>-21.870640635621292</v>
      </c>
      <c r="R166" s="32">
        <f t="shared" ca="1" si="25"/>
        <v>0.88713586341808082</v>
      </c>
      <c r="S166" s="17">
        <f t="shared" ca="1" si="26"/>
        <v>-21.870640635621292</v>
      </c>
      <c r="T166" s="24">
        <f t="shared" ca="1" si="27"/>
        <v>4598.3689331620699</v>
      </c>
      <c r="U166" s="24">
        <f t="shared" ca="1" si="28"/>
        <v>4388.8052930094454</v>
      </c>
      <c r="V166" s="24">
        <f ca="1">S165*(O166-O165)*futMult</f>
        <v>-4388.8052930094445</v>
      </c>
      <c r="W166" s="24">
        <f ca="1">T166+V166</f>
        <v>209.56364015262534</v>
      </c>
      <c r="X166" s="24">
        <f ca="1">X165+T166</f>
        <v>116471.49153022098</v>
      </c>
      <c r="Y166" s="24">
        <f t="shared" ca="1" si="29"/>
        <v>-19609.842200746454</v>
      </c>
      <c r="Z166" s="24"/>
    </row>
    <row r="167" spans="6:26" x14ac:dyDescent="0.25">
      <c r="F167" s="18">
        <f t="shared" si="22"/>
        <v>164</v>
      </c>
      <c r="G167">
        <f t="shared" si="20"/>
        <v>0.65079365079365081</v>
      </c>
      <c r="H167" s="8">
        <v>-2.3860312716613877E-2</v>
      </c>
      <c r="I167" s="8">
        <f ca="1">(interestRate-dividend-0.5*sigma^2)*1/252+sigma*SQRT(1/252)*_xlfn.NORM.S.INV(RAND())</f>
        <v>1.8361294855851973E-2</v>
      </c>
      <c r="J167" s="27">
        <f t="shared" ca="1" si="23"/>
        <v>114.69367209318068</v>
      </c>
      <c r="K167" s="20">
        <f t="shared" ca="1" si="24"/>
        <v>114.69367209318068</v>
      </c>
      <c r="L167" s="20">
        <f ca="1">BlackScholes(OptType,"Price",K167,Strike,time-G167,0,sigma,interestRate,dividend)</f>
        <v>5.5664117504442201</v>
      </c>
      <c r="M167" s="21">
        <f ca="1">L167*units*optMult*IF(Side="Short",-1,1)</f>
        <v>-55664.117504442198</v>
      </c>
      <c r="N167" s="6">
        <f ca="1">BlackScholes(OptType,"Delta",K167,Strike,time-G167,0,sigma,interestRate,dividend)*IF(Side="Short",-1,1)*units*optMult</f>
        <v>4854.3167537967374</v>
      </c>
      <c r="O167" s="6">
        <f ca="1">K167*EXP((interestRate-dividend)*(time-G167))</f>
        <v>114.69367209318068</v>
      </c>
      <c r="P167" s="19">
        <f>EXP((interestRate-dividend)*(time-G167))*futMult</f>
        <v>250</v>
      </c>
      <c r="Q167">
        <f t="shared" ca="1" si="21"/>
        <v>-19.417267015186951</v>
      </c>
      <c r="R167" s="32">
        <f t="shared" ca="1" si="25"/>
        <v>2.4533736204343413</v>
      </c>
      <c r="S167" s="17">
        <f t="shared" ca="1" si="26"/>
        <v>-19.417267015186951</v>
      </c>
      <c r="T167" s="24">
        <f t="shared" ca="1" si="27"/>
        <v>11072.442439670122</v>
      </c>
      <c r="U167" s="24">
        <f t="shared" ca="1" si="28"/>
        <v>11409.412230510328</v>
      </c>
      <c r="V167" s="24">
        <f ca="1">S166*(O167-O166)*futMult</f>
        <v>-11409.412230510326</v>
      </c>
      <c r="W167" s="24">
        <f ca="1">T167+V167</f>
        <v>-336.96979084020495</v>
      </c>
      <c r="X167" s="24">
        <f ca="1">X166+T167</f>
        <v>127543.93396989111</v>
      </c>
      <c r="Y167" s="24">
        <f t="shared" ca="1" si="29"/>
        <v>-31019.254431256781</v>
      </c>
      <c r="Z167" s="24"/>
    </row>
    <row r="168" spans="6:26" x14ac:dyDescent="0.25">
      <c r="F168" s="18">
        <f t="shared" si="22"/>
        <v>165</v>
      </c>
      <c r="G168">
        <f t="shared" si="20"/>
        <v>0.65476190476190477</v>
      </c>
      <c r="H168" s="8">
        <v>-3.2609719713474095E-2</v>
      </c>
      <c r="I168" s="8">
        <f ca="1">(interestRate-dividend-0.5*sigma^2)*1/252+sigma*SQRT(1/252)*_xlfn.NORM.S.INV(RAND())</f>
        <v>2.1314471301941054E-3</v>
      </c>
      <c r="J168" s="27">
        <f t="shared" ca="1" si="23"/>
        <v>114.93839630712701</v>
      </c>
      <c r="K168" s="20">
        <f t="shared" ca="1" si="24"/>
        <v>114.93839630712701</v>
      </c>
      <c r="L168" s="20">
        <f ca="1">BlackScholes(OptType,"Price",K168,Strike,time-G168,0,sigma,interestRate,dividend)</f>
        <v>5.4176606849469602</v>
      </c>
      <c r="M168" s="21">
        <f ca="1">L168*units*optMult*IF(Side="Short",-1,1)</f>
        <v>-54176.606849469601</v>
      </c>
      <c r="N168" s="6">
        <f ca="1">BlackScholes(OptType,"Delta",K168,Strike,time-G168,0,sigma,interestRate,dividend)*IF(Side="Short",-1,1)*units*optMult</f>
        <v>4783.88998261299</v>
      </c>
      <c r="O168" s="6">
        <f ca="1">K168*EXP((interestRate-dividend)*(time-G168))</f>
        <v>114.93839630712701</v>
      </c>
      <c r="P168" s="19">
        <f>EXP((interestRate-dividend)*(time-G168))*futMult</f>
        <v>250</v>
      </c>
      <c r="Q168">
        <f t="shared" ca="1" si="21"/>
        <v>-19.135559930451961</v>
      </c>
      <c r="R168" s="32">
        <f t="shared" ca="1" si="25"/>
        <v>0.28170708473498962</v>
      </c>
      <c r="S168" s="17">
        <f t="shared" ca="1" si="26"/>
        <v>-19.135559930451961</v>
      </c>
      <c r="T168" s="24">
        <f t="shared" ca="1" si="27"/>
        <v>1487.510654972597</v>
      </c>
      <c r="U168" s="24">
        <f t="shared" ca="1" si="28"/>
        <v>1187.9688518193925</v>
      </c>
      <c r="V168" s="24">
        <f ca="1">S167*(O168-O167)*futMult</f>
        <v>-1187.9688518193927</v>
      </c>
      <c r="W168" s="24">
        <f ca="1">T168+V168</f>
        <v>299.54180315320423</v>
      </c>
      <c r="X168" s="24">
        <f ca="1">X167+T168</f>
        <v>129031.44462486371</v>
      </c>
      <c r="Y168" s="24">
        <f t="shared" ca="1" si="29"/>
        <v>-32207.223283076175</v>
      </c>
      <c r="Z168" s="24"/>
    </row>
    <row r="169" spans="6:26" x14ac:dyDescent="0.25">
      <c r="F169" s="18">
        <f t="shared" si="22"/>
        <v>166</v>
      </c>
      <c r="G169">
        <f t="shared" si="20"/>
        <v>0.65873015873015872</v>
      </c>
      <c r="H169" s="8">
        <v>6.6075705540828552E-3</v>
      </c>
      <c r="I169" s="8">
        <f ca="1">(interestRate-dividend-0.5*sigma^2)*1/252+sigma*SQRT(1/252)*_xlfn.NORM.S.INV(RAND())</f>
        <v>-1.6804805832508839E-2</v>
      </c>
      <c r="J169" s="27">
        <f t="shared" ca="1" si="23"/>
        <v>113.0230177322784</v>
      </c>
      <c r="K169" s="20">
        <f t="shared" ca="1" si="24"/>
        <v>113.0230177322784</v>
      </c>
      <c r="L169" s="20">
        <f ca="1">BlackScholes(OptType,"Price",K169,Strike,time-G169,0,sigma,interestRate,dividend)</f>
        <v>6.357989318078606</v>
      </c>
      <c r="M169" s="21">
        <f ca="1">L169*units*optMult*IF(Side="Short",-1,1)</f>
        <v>-63579.893180786064</v>
      </c>
      <c r="N169" s="6">
        <f ca="1">BlackScholes(OptType,"Delta",K169,Strike,time-G169,0,sigma,interestRate,dividend)*IF(Side="Short",-1,1)*units*optMult</f>
        <v>5358.5619480015966</v>
      </c>
      <c r="O169" s="6">
        <f ca="1">K169*EXP((interestRate-dividend)*(time-G169))</f>
        <v>113.0230177322784</v>
      </c>
      <c r="P169" s="19">
        <f>EXP((interestRate-dividend)*(time-G169))*futMult</f>
        <v>250</v>
      </c>
      <c r="Q169">
        <f t="shared" ca="1" si="21"/>
        <v>-21.434247792006385</v>
      </c>
      <c r="R169" s="32">
        <f t="shared" ca="1" si="25"/>
        <v>-2.2986878615544235</v>
      </c>
      <c r="S169" s="17">
        <f t="shared" ca="1" si="26"/>
        <v>-21.434247792006385</v>
      </c>
      <c r="T169" s="24">
        <f t="shared" ca="1" si="27"/>
        <v>-9403.2863313164635</v>
      </c>
      <c r="U169" s="24">
        <f t="shared" ca="1" si="28"/>
        <v>-9162.960377129777</v>
      </c>
      <c r="V169" s="24">
        <f ca="1">S168*(O169-O168)*futMult</f>
        <v>9162.9603771297789</v>
      </c>
      <c r="W169" s="24">
        <f ca="1">T169+V169</f>
        <v>-240.32595418668461</v>
      </c>
      <c r="X169" s="24">
        <f ca="1">X168+T169</f>
        <v>119628.15829354725</v>
      </c>
      <c r="Y169" s="24">
        <f t="shared" ca="1" si="29"/>
        <v>-23044.262905946394</v>
      </c>
      <c r="Z169" s="24"/>
    </row>
    <row r="170" spans="6:26" x14ac:dyDescent="0.25">
      <c r="F170" s="18">
        <f t="shared" si="22"/>
        <v>167</v>
      </c>
      <c r="G170">
        <f t="shared" si="20"/>
        <v>0.66269841269841268</v>
      </c>
      <c r="H170" s="8">
        <v>-2.3424293884262283E-3</v>
      </c>
      <c r="I170" s="8">
        <f ca="1">(interestRate-dividend-0.5*sigma^2)*1/252+sigma*SQRT(1/252)*_xlfn.NORM.S.INV(RAND())</f>
        <v>-5.145371681546238E-3</v>
      </c>
      <c r="J170" s="27">
        <f t="shared" ca="1" si="23"/>
        <v>112.44296586842449</v>
      </c>
      <c r="K170" s="20">
        <f t="shared" ca="1" si="24"/>
        <v>112.44296586842449</v>
      </c>
      <c r="L170" s="20">
        <f ca="1">BlackScholes(OptType,"Price",K170,Strike,time-G170,0,sigma,interestRate,dividend)</f>
        <v>6.6435924842450254</v>
      </c>
      <c r="M170" s="21">
        <f ca="1">L170*units*optMult*IF(Side="Short",-1,1)</f>
        <v>-66435.924842450258</v>
      </c>
      <c r="N170" s="6">
        <f ca="1">BlackScholes(OptType,"Delta",K170,Strike,time-G170,0,sigma,interestRate,dividend)*IF(Side="Short",-1,1)*units*optMult</f>
        <v>5538.9486489614928</v>
      </c>
      <c r="O170" s="6">
        <f ca="1">K170*EXP((interestRate-dividend)*(time-G170))</f>
        <v>112.44296586842449</v>
      </c>
      <c r="P170" s="19">
        <f>EXP((interestRate-dividend)*(time-G170))*futMult</f>
        <v>250</v>
      </c>
      <c r="Q170">
        <f t="shared" ca="1" si="21"/>
        <v>-22.155794595845972</v>
      </c>
      <c r="R170" s="32">
        <f t="shared" ca="1" si="25"/>
        <v>-0.72154680383958691</v>
      </c>
      <c r="S170" s="17">
        <f t="shared" ca="1" si="26"/>
        <v>-22.155794595845972</v>
      </c>
      <c r="T170" s="24">
        <f t="shared" ca="1" si="27"/>
        <v>-2856.031661664194</v>
      </c>
      <c r="U170" s="24">
        <f t="shared" ca="1" si="28"/>
        <v>-3108.2438455149663</v>
      </c>
      <c r="V170" s="24">
        <f ca="1">S169*(O170-O169)*futMult</f>
        <v>3108.2438455149663</v>
      </c>
      <c r="W170" s="24">
        <f ca="1">T170+V170</f>
        <v>252.21218385077236</v>
      </c>
      <c r="X170" s="24">
        <f ca="1">X169+T170</f>
        <v>116772.12663188306</v>
      </c>
      <c r="Y170" s="24">
        <f t="shared" ca="1" si="29"/>
        <v>-19936.019060431427</v>
      </c>
      <c r="Z170" s="24"/>
    </row>
    <row r="171" spans="6:26" x14ac:dyDescent="0.25">
      <c r="F171" s="18">
        <f t="shared" si="22"/>
        <v>168</v>
      </c>
      <c r="G171">
        <f t="shared" si="20"/>
        <v>0.66666666666666663</v>
      </c>
      <c r="H171" s="8">
        <v>3.3817504589430717E-3</v>
      </c>
      <c r="I171" s="8">
        <f ca="1">(interestRate-dividend-0.5*sigma^2)*1/252+sigma*SQRT(1/252)*_xlfn.NORM.S.INV(RAND())</f>
        <v>1.127130400372078E-2</v>
      </c>
      <c r="J171" s="27">
        <f t="shared" ca="1" si="23"/>
        <v>113.71751413687532</v>
      </c>
      <c r="K171" s="20">
        <f t="shared" ca="1" si="24"/>
        <v>113.71751413687532</v>
      </c>
      <c r="L171" s="20">
        <f ca="1">BlackScholes(OptType,"Price",K171,Strike,time-G171,0,sigma,interestRate,dividend)</f>
        <v>5.9311400084653556</v>
      </c>
      <c r="M171" s="21">
        <f ca="1">L171*units*optMult*IF(Side="Short",-1,1)</f>
        <v>-59311.400084653556</v>
      </c>
      <c r="N171" s="6">
        <f ca="1">BlackScholes(OptType,"Delta",K171,Strike,time-G171,0,sigma,interestRate,dividend)*IF(Side="Short",-1,1)*units*optMult</f>
        <v>5157.0913184225519</v>
      </c>
      <c r="O171" s="6">
        <f ca="1">K171*EXP((interestRate-dividend)*(time-G171))</f>
        <v>113.71751413687532</v>
      </c>
      <c r="P171" s="19">
        <f>EXP((interestRate-dividend)*(time-G171))*futMult</f>
        <v>250</v>
      </c>
      <c r="Q171">
        <f t="shared" ca="1" si="21"/>
        <v>-20.628365273690207</v>
      </c>
      <c r="R171" s="32">
        <f t="shared" ca="1" si="25"/>
        <v>1.5274293221557649</v>
      </c>
      <c r="S171" s="17">
        <f t="shared" ca="1" si="26"/>
        <v>-20.628365273690207</v>
      </c>
      <c r="T171" s="24">
        <f t="shared" ca="1" si="27"/>
        <v>7124.524757796702</v>
      </c>
      <c r="U171" s="24">
        <f t="shared" ca="1" si="28"/>
        <v>7059.6574095719288</v>
      </c>
      <c r="V171" s="24">
        <f ca="1">S170*(O171-O170)*futMult</f>
        <v>-7059.6574095719288</v>
      </c>
      <c r="W171" s="24">
        <f ca="1">T171+V171</f>
        <v>64.867348224773195</v>
      </c>
      <c r="X171" s="24">
        <f ca="1">X170+T171</f>
        <v>123896.65138967976</v>
      </c>
      <c r="Y171" s="24">
        <f t="shared" ca="1" si="29"/>
        <v>-26995.676470003356</v>
      </c>
      <c r="Z171" s="24"/>
    </row>
    <row r="172" spans="6:26" x14ac:dyDescent="0.25">
      <c r="F172" s="18">
        <f t="shared" si="22"/>
        <v>169</v>
      </c>
      <c r="G172">
        <f t="shared" si="20"/>
        <v>0.67063492063492058</v>
      </c>
      <c r="H172" s="8">
        <v>3.5712007839982046E-2</v>
      </c>
      <c r="I172" s="8">
        <f ca="1">(interestRate-dividend-0.5*sigma^2)*1/252+sigma*SQRT(1/252)*_xlfn.NORM.S.INV(RAND())</f>
        <v>9.3962343431125313E-3</v>
      </c>
      <c r="J172" s="27">
        <f t="shared" ca="1" si="23"/>
        <v>114.79106632400776</v>
      </c>
      <c r="K172" s="20">
        <f t="shared" ca="1" si="24"/>
        <v>114.79106632400776</v>
      </c>
      <c r="L172" s="20">
        <f ca="1">BlackScholes(OptType,"Price",K172,Strike,time-G172,0,sigma,interestRate,dividend)</f>
        <v>5.3634050896833969</v>
      </c>
      <c r="M172" s="21">
        <f ca="1">L172*units*optMult*IF(Side="Short",-1,1)</f>
        <v>-53634.050896833971</v>
      </c>
      <c r="N172" s="6">
        <f ca="1">BlackScholes(OptType,"Delta",K172,Strike,time-G172,0,sigma,interestRate,dividend)*IF(Side="Short",-1,1)*units*optMult</f>
        <v>4834.2976668027841</v>
      </c>
      <c r="O172" s="6">
        <f ca="1">K172*EXP((interestRate-dividend)*(time-G172))</f>
        <v>114.79106632400776</v>
      </c>
      <c r="P172" s="19">
        <f>EXP((interestRate-dividend)*(time-G172))*futMult</f>
        <v>250</v>
      </c>
      <c r="Q172">
        <f t="shared" ca="1" si="21"/>
        <v>-19.337190667211136</v>
      </c>
      <c r="R172" s="32">
        <f t="shared" ca="1" si="25"/>
        <v>1.2911746064790712</v>
      </c>
      <c r="S172" s="17">
        <f t="shared" ca="1" si="26"/>
        <v>-19.337190667211136</v>
      </c>
      <c r="T172" s="24">
        <f t="shared" ca="1" si="27"/>
        <v>5677.3491878195855</v>
      </c>
      <c r="U172" s="24">
        <f t="shared" ca="1" si="28"/>
        <v>5536.4066641342242</v>
      </c>
      <c r="V172" s="24">
        <f ca="1">S171*(O172-O171)*futMult</f>
        <v>-5536.4066641342242</v>
      </c>
      <c r="W172" s="24">
        <f ca="1">T172+V172</f>
        <v>140.94252368536127</v>
      </c>
      <c r="X172" s="24">
        <f ca="1">X171+T172</f>
        <v>129574.00057749933</v>
      </c>
      <c r="Y172" s="24">
        <f t="shared" ca="1" si="29"/>
        <v>-32532.083134137582</v>
      </c>
      <c r="Z172" s="24"/>
    </row>
    <row r="173" spans="6:26" x14ac:dyDescent="0.25">
      <c r="F173" s="18">
        <f t="shared" si="22"/>
        <v>170</v>
      </c>
      <c r="G173">
        <f t="shared" si="20"/>
        <v>0.67460317460317465</v>
      </c>
      <c r="H173" s="8">
        <v>-5.3440955671450678E-2</v>
      </c>
      <c r="I173" s="8">
        <f ca="1">(interestRate-dividend-0.5*sigma^2)*1/252+sigma*SQRT(1/252)*_xlfn.NORM.S.INV(RAND())</f>
        <v>-1.384789803307713E-2</v>
      </c>
      <c r="J173" s="27">
        <f t="shared" ca="1" si="23"/>
        <v>113.21240712570464</v>
      </c>
      <c r="K173" s="20">
        <f t="shared" ca="1" si="24"/>
        <v>113.21240712570464</v>
      </c>
      <c r="L173" s="20">
        <f ca="1">BlackScholes(OptType,"Price",K173,Strike,time-G173,0,sigma,interestRate,dividend)</f>
        <v>6.1332393413962043</v>
      </c>
      <c r="M173" s="21">
        <f ca="1">L173*units*optMult*IF(Side="Short",-1,1)</f>
        <v>-61332.39341396204</v>
      </c>
      <c r="N173" s="6">
        <f ca="1">BlackScholes(OptType,"Delta",K173,Strike,time-G173,0,sigma,interestRate,dividend)*IF(Side="Short",-1,1)*units*optMult</f>
        <v>5319.9102299564493</v>
      </c>
      <c r="O173" s="6">
        <f ca="1">K173*EXP((interestRate-dividend)*(time-G173))</f>
        <v>113.21240712570464</v>
      </c>
      <c r="P173" s="19">
        <f>EXP((interestRate-dividend)*(time-G173))*futMult</f>
        <v>250</v>
      </c>
      <c r="Q173">
        <f t="shared" ca="1" si="21"/>
        <v>-21.279640919825798</v>
      </c>
      <c r="R173" s="32">
        <f t="shared" ca="1" si="25"/>
        <v>-1.9424502526146625</v>
      </c>
      <c r="S173" s="17">
        <f t="shared" ca="1" si="26"/>
        <v>-21.279640919825798</v>
      </c>
      <c r="T173" s="24">
        <f t="shared" ca="1" si="27"/>
        <v>-7698.3425171280687</v>
      </c>
      <c r="U173" s="24">
        <f t="shared" ca="1" si="28"/>
        <v>-7631.7084790334993</v>
      </c>
      <c r="V173" s="24">
        <f ca="1">S172*(O173-O172)*futMult</f>
        <v>7631.7084790334993</v>
      </c>
      <c r="W173" s="24">
        <f ca="1">T173+V173</f>
        <v>-66.634038094569405</v>
      </c>
      <c r="X173" s="24">
        <f ca="1">X172+T173</f>
        <v>121875.65806037126</v>
      </c>
      <c r="Y173" s="24">
        <f t="shared" ca="1" si="29"/>
        <v>-24900.374655104082</v>
      </c>
      <c r="Z173" s="24"/>
    </row>
    <row r="174" spans="6:26" x14ac:dyDescent="0.25">
      <c r="F174" s="18">
        <f t="shared" si="22"/>
        <v>171</v>
      </c>
      <c r="G174">
        <f t="shared" si="20"/>
        <v>0.6785714285714286</v>
      </c>
      <c r="H174" s="8">
        <v>1.5302182903280106E-2</v>
      </c>
      <c r="I174" s="8">
        <f ca="1">(interestRate-dividend-0.5*sigma^2)*1/252+sigma*SQRT(1/252)*_xlfn.NORM.S.INV(RAND())</f>
        <v>6.5327985792369334E-4</v>
      </c>
      <c r="J174" s="27">
        <f t="shared" ca="1" si="23"/>
        <v>113.28639067429678</v>
      </c>
      <c r="K174" s="20">
        <f t="shared" ca="1" si="24"/>
        <v>113.28639067429678</v>
      </c>
      <c r="L174" s="20">
        <f ca="1">BlackScholes(OptType,"Price",K174,Strike,time-G174,0,sigma,interestRate,dividend)</f>
        <v>6.0625175845933637</v>
      </c>
      <c r="M174" s="21">
        <f ca="1">L174*units*optMult*IF(Side="Short",-1,1)</f>
        <v>-60625.175845933634</v>
      </c>
      <c r="N174" s="6">
        <f ca="1">BlackScholes(OptType,"Delta",K174,Strike,time-G174,0,sigma,interestRate,dividend)*IF(Side="Short",-1,1)*units*optMult</f>
        <v>5301.7441170019138</v>
      </c>
      <c r="O174" s="6">
        <f ca="1">K174*EXP((interestRate-dividend)*(time-G174))</f>
        <v>113.28639067429678</v>
      </c>
      <c r="P174" s="19">
        <f>EXP((interestRate-dividend)*(time-G174))*futMult</f>
        <v>250</v>
      </c>
      <c r="Q174">
        <f t="shared" ca="1" si="21"/>
        <v>-21.206976468007657</v>
      </c>
      <c r="R174" s="32">
        <f t="shared" ca="1" si="25"/>
        <v>7.2664451818141629E-2</v>
      </c>
      <c r="S174" s="17">
        <f t="shared" ca="1" si="26"/>
        <v>-21.206976468007657</v>
      </c>
      <c r="T174" s="24">
        <f t="shared" ca="1" si="27"/>
        <v>707.21756802840537</v>
      </c>
      <c r="U174" s="24">
        <f t="shared" ca="1" si="28"/>
        <v>393.58583700380012</v>
      </c>
      <c r="V174" s="24">
        <f ca="1">S173*(O174-O173)*futMult</f>
        <v>-393.58583700380012</v>
      </c>
      <c r="W174" s="24">
        <f ca="1">T174+V174</f>
        <v>313.63173102460524</v>
      </c>
      <c r="X174" s="24">
        <f ca="1">X173+T174</f>
        <v>122582.87562839966</v>
      </c>
      <c r="Y174" s="24">
        <f t="shared" ca="1" si="29"/>
        <v>-25293.960492107883</v>
      </c>
      <c r="Z174" s="24"/>
    </row>
    <row r="175" spans="6:26" x14ac:dyDescent="0.25">
      <c r="F175" s="18">
        <f t="shared" si="22"/>
        <v>172</v>
      </c>
      <c r="G175">
        <f t="shared" si="20"/>
        <v>0.68253968253968256</v>
      </c>
      <c r="H175" s="8">
        <v>-7.8128394963345382E-4</v>
      </c>
      <c r="I175" s="8">
        <f ca="1">(interestRate-dividend-0.5*sigma^2)*1/252+sigma*SQRT(1/252)*_xlfn.NORM.S.INV(RAND())</f>
        <v>2.107862981942098E-2</v>
      </c>
      <c r="J175" s="27">
        <f t="shared" ca="1" si="23"/>
        <v>115.69965739252802</v>
      </c>
      <c r="K175" s="20">
        <f t="shared" ca="1" si="24"/>
        <v>115.69965739252802</v>
      </c>
      <c r="L175" s="20">
        <f ca="1">BlackScholes(OptType,"Price",K175,Strike,time-G175,0,sigma,interestRate,dividend)</f>
        <v>4.8405597798264024</v>
      </c>
      <c r="M175" s="21">
        <f ca="1">L175*units*optMult*IF(Side="Short",-1,1)</f>
        <v>-48405.597798264025</v>
      </c>
      <c r="N175" s="6">
        <f ca="1">BlackScholes(OptType,"Delta",K175,Strike,time-G175,0,sigma,interestRate,dividend)*IF(Side="Short",-1,1)*units*optMult</f>
        <v>4561.3728244755548</v>
      </c>
      <c r="O175" s="6">
        <f ca="1">K175*EXP((interestRate-dividend)*(time-G175))</f>
        <v>115.69965739252802</v>
      </c>
      <c r="P175" s="19">
        <f>EXP((interestRate-dividend)*(time-G175))*futMult</f>
        <v>250</v>
      </c>
      <c r="Q175">
        <f t="shared" ca="1" si="21"/>
        <v>-18.24549129790222</v>
      </c>
      <c r="R175" s="32">
        <f t="shared" ca="1" si="25"/>
        <v>2.961485170105437</v>
      </c>
      <c r="S175" s="17">
        <f t="shared" ca="1" si="26"/>
        <v>-18.24549129790222</v>
      </c>
      <c r="T175" s="24">
        <f t="shared" ca="1" si="27"/>
        <v>12219.578047669609</v>
      </c>
      <c r="U175" s="24">
        <f t="shared" ca="1" si="28"/>
        <v>12794.522626139002</v>
      </c>
      <c r="V175" s="24">
        <f ca="1">S174*(O175-O174)*futMult</f>
        <v>-12794.522626139003</v>
      </c>
      <c r="W175" s="24">
        <f ca="1">T175+V175</f>
        <v>-574.9445784693944</v>
      </c>
      <c r="X175" s="24">
        <f ca="1">X174+T175</f>
        <v>134802.45367606927</v>
      </c>
      <c r="Y175" s="24">
        <f t="shared" ca="1" si="29"/>
        <v>-38088.483118246884</v>
      </c>
      <c r="Z175" s="24"/>
    </row>
    <row r="176" spans="6:26" x14ac:dyDescent="0.25">
      <c r="F176" s="18">
        <f t="shared" si="22"/>
        <v>173</v>
      </c>
      <c r="G176">
        <f t="shared" si="20"/>
        <v>0.68650793650793651</v>
      </c>
      <c r="H176" s="8">
        <v>7.0096777867604196E-3</v>
      </c>
      <c r="I176" s="8">
        <f ca="1">(interestRate-dividend-0.5*sigma^2)*1/252+sigma*SQRT(1/252)*_xlfn.NORM.S.INV(RAND())</f>
        <v>1.6777895311337941E-3</v>
      </c>
      <c r="J176" s="27">
        <f t="shared" ca="1" si="23"/>
        <v>115.8939400035473</v>
      </c>
      <c r="K176" s="20">
        <f t="shared" ca="1" si="24"/>
        <v>115.8939400035473</v>
      </c>
      <c r="L176" s="20">
        <f ca="1">BlackScholes(OptType,"Price",K176,Strike,time-G176,0,sigma,interestRate,dividend)</f>
        <v>4.7201027037338124</v>
      </c>
      <c r="M176" s="21">
        <f ca="1">L176*units*optMult*IF(Side="Short",-1,1)</f>
        <v>-47201.027037338121</v>
      </c>
      <c r="N176" s="6">
        <f ca="1">BlackScholes(OptType,"Delta",K176,Strike,time-G176,0,sigma,interestRate,dividend)*IF(Side="Short",-1,1)*units*optMult</f>
        <v>4502.0668476519168</v>
      </c>
      <c r="O176" s="6">
        <f ca="1">K176*EXP((interestRate-dividend)*(time-G176))</f>
        <v>115.8939400035473</v>
      </c>
      <c r="P176" s="19">
        <f>EXP((interestRate-dividend)*(time-G176))*futMult</f>
        <v>250</v>
      </c>
      <c r="Q176">
        <f t="shared" ca="1" si="21"/>
        <v>-18.008267390607667</v>
      </c>
      <c r="R176" s="32">
        <f t="shared" ca="1" si="25"/>
        <v>0.23722390729455256</v>
      </c>
      <c r="S176" s="17">
        <f t="shared" ca="1" si="26"/>
        <v>-18.008267390607667</v>
      </c>
      <c r="T176" s="24">
        <f t="shared" ca="1" si="27"/>
        <v>1204.5707609259043</v>
      </c>
      <c r="U176" s="24">
        <f t="shared" ca="1" si="28"/>
        <v>886.19542217147807</v>
      </c>
      <c r="V176" s="24">
        <f ca="1">S175*(O176-O175)*futMult</f>
        <v>-886.19542217147807</v>
      </c>
      <c r="W176" s="24">
        <f ca="1">T176+V176</f>
        <v>318.37533875442625</v>
      </c>
      <c r="X176" s="24">
        <f ca="1">X175+T176</f>
        <v>136007.02443699518</v>
      </c>
      <c r="Y176" s="24">
        <f t="shared" ca="1" si="29"/>
        <v>-38974.678540418361</v>
      </c>
      <c r="Z176" s="24"/>
    </row>
    <row r="177" spans="6:26" x14ac:dyDescent="0.25">
      <c r="F177" s="18">
        <f t="shared" si="22"/>
        <v>174</v>
      </c>
      <c r="G177">
        <f t="shared" si="20"/>
        <v>0.69047619047619047</v>
      </c>
      <c r="H177" s="8">
        <v>1.0295217906077911E-2</v>
      </c>
      <c r="I177" s="8">
        <f ca="1">(interestRate-dividend-0.5*sigma^2)*1/252+sigma*SQRT(1/252)*_xlfn.NORM.S.INV(RAND())</f>
        <v>4.4891064463087466E-3</v>
      </c>
      <c r="J177" s="27">
        <f t="shared" ca="1" si="23"/>
        <v>116.41536973783873</v>
      </c>
      <c r="K177" s="20">
        <f t="shared" ca="1" si="24"/>
        <v>116.41536973783873</v>
      </c>
      <c r="L177" s="20">
        <f ca="1">BlackScholes(OptType,"Price",K177,Strike,time-G177,0,sigma,interestRate,dividend)</f>
        <v>4.45691203751998</v>
      </c>
      <c r="M177" s="21">
        <f ca="1">L177*units*optMult*IF(Side="Short",-1,1)</f>
        <v>-44569.120375199796</v>
      </c>
      <c r="N177" s="6">
        <f ca="1">BlackScholes(OptType,"Delta",K177,Strike,time-G177,0,sigma,interestRate,dividend)*IF(Side="Short",-1,1)*units*optMult</f>
        <v>4342.4772155543051</v>
      </c>
      <c r="O177" s="6">
        <f ca="1">K177*EXP((interestRate-dividend)*(time-G177))</f>
        <v>116.41536973783873</v>
      </c>
      <c r="P177" s="19">
        <f>EXP((interestRate-dividend)*(time-G177))*futMult</f>
        <v>250</v>
      </c>
      <c r="Q177">
        <f t="shared" ca="1" si="21"/>
        <v>-17.369908862217219</v>
      </c>
      <c r="R177" s="32">
        <f t="shared" ca="1" si="25"/>
        <v>0.63835852839044804</v>
      </c>
      <c r="S177" s="17">
        <f t="shared" ca="1" si="26"/>
        <v>-17.369908862217219</v>
      </c>
      <c r="T177" s="24">
        <f t="shared" ca="1" si="27"/>
        <v>2631.9066621383245</v>
      </c>
      <c r="U177" s="24">
        <f t="shared" ca="1" si="28"/>
        <v>2347.5115201333979</v>
      </c>
      <c r="V177" s="24">
        <f ca="1">S176*(O177-O176)*futMult</f>
        <v>-2347.5115201333979</v>
      </c>
      <c r="W177" s="24">
        <f ca="1">T177+V177</f>
        <v>284.39514200492658</v>
      </c>
      <c r="X177" s="24">
        <f ca="1">X176+T177</f>
        <v>138638.93109913351</v>
      </c>
      <c r="Y177" s="24">
        <f t="shared" ca="1" si="29"/>
        <v>-41322.190060551759</v>
      </c>
      <c r="Z177" s="24"/>
    </row>
    <row r="178" spans="6:26" x14ac:dyDescent="0.25">
      <c r="F178" s="18">
        <f t="shared" si="22"/>
        <v>175</v>
      </c>
      <c r="G178">
        <f t="shared" si="20"/>
        <v>0.69444444444444442</v>
      </c>
      <c r="H178" s="8">
        <v>-5.6492489537774354E-3</v>
      </c>
      <c r="I178" s="8">
        <f ca="1">(interestRate-dividend-0.5*sigma^2)*1/252+sigma*SQRT(1/252)*_xlfn.NORM.S.INV(RAND())</f>
        <v>1.0771990295791265E-2</v>
      </c>
      <c r="J178" s="27">
        <f t="shared" ca="1" si="23"/>
        <v>117.67617346217286</v>
      </c>
      <c r="K178" s="20">
        <f t="shared" ca="1" si="24"/>
        <v>117.67617346217286</v>
      </c>
      <c r="L178" s="20">
        <f ca="1">BlackScholes(OptType,"Price",K178,Strike,time-G178,0,sigma,interestRate,dividend)</f>
        <v>3.90087060400344</v>
      </c>
      <c r="M178" s="21">
        <f ca="1">L178*units*optMult*IF(Side="Short",-1,1)</f>
        <v>-39008.706040034398</v>
      </c>
      <c r="N178" s="6">
        <f ca="1">BlackScholes(OptType,"Delta",K178,Strike,time-G178,0,sigma,interestRate,dividend)*IF(Side="Short",-1,1)*units*optMult</f>
        <v>3961.3656404244198</v>
      </c>
      <c r="O178" s="6">
        <f ca="1">K178*EXP((interestRate-dividend)*(time-G178))</f>
        <v>117.67617346217286</v>
      </c>
      <c r="P178" s="19">
        <f>EXP((interestRate-dividend)*(time-G178))*futMult</f>
        <v>250</v>
      </c>
      <c r="Q178">
        <f t="shared" ca="1" si="21"/>
        <v>-15.84546256169768</v>
      </c>
      <c r="R178" s="32">
        <f t="shared" ca="1" si="25"/>
        <v>1.5244463005195392</v>
      </c>
      <c r="S178" s="17">
        <f t="shared" ca="1" si="26"/>
        <v>-15.84546256169768</v>
      </c>
      <c r="T178" s="24">
        <f t="shared" ca="1" si="27"/>
        <v>5560.4143351653984</v>
      </c>
      <c r="U178" s="24">
        <f t="shared" ca="1" si="28"/>
        <v>5475.0114462069459</v>
      </c>
      <c r="V178" s="24">
        <f ca="1">S177*(O178-O177)*futMult</f>
        <v>-5475.011446206945</v>
      </c>
      <c r="W178" s="24">
        <f ca="1">T178+V178</f>
        <v>85.402888958453332</v>
      </c>
      <c r="X178" s="24">
        <f ca="1">X177+T178</f>
        <v>144199.34543429891</v>
      </c>
      <c r="Y178" s="24">
        <f t="shared" ca="1" si="29"/>
        <v>-46797.201506758705</v>
      </c>
      <c r="Z178" s="24"/>
    </row>
    <row r="179" spans="6:26" x14ac:dyDescent="0.25">
      <c r="F179" s="18">
        <f t="shared" si="22"/>
        <v>176</v>
      </c>
      <c r="G179">
        <f t="shared" si="20"/>
        <v>0.69841269841269837</v>
      </c>
      <c r="H179" s="8">
        <v>-1.2872191901265225E-2</v>
      </c>
      <c r="I179" s="8">
        <f ca="1">(interestRate-dividend-0.5*sigma^2)*1/252+sigma*SQRT(1/252)*_xlfn.NORM.S.INV(RAND())</f>
        <v>8.2566658476036954E-3</v>
      </c>
      <c r="J179" s="27">
        <f t="shared" ca="1" si="23"/>
        <v>118.65180850833779</v>
      </c>
      <c r="K179" s="20">
        <f t="shared" ca="1" si="24"/>
        <v>118.65180850833779</v>
      </c>
      <c r="L179" s="20">
        <f ca="1">BlackScholes(OptType,"Price",K179,Strike,time-G179,0,sigma,interestRate,dividend)</f>
        <v>3.4961551490608822</v>
      </c>
      <c r="M179" s="21">
        <f ca="1">L179*units*optMult*IF(Side="Short",-1,1)</f>
        <v>-34961.551490608821</v>
      </c>
      <c r="N179" s="6">
        <f ca="1">BlackScholes(OptType,"Delta",K179,Strike,time-G179,0,sigma,interestRate,dividend)*IF(Side="Short",-1,1)*units*optMult</f>
        <v>3671.0206611708459</v>
      </c>
      <c r="O179" s="6">
        <f ca="1">K179*EXP((interestRate-dividend)*(time-G179))</f>
        <v>118.65180850833779</v>
      </c>
      <c r="P179" s="19">
        <f>EXP((interestRate-dividend)*(time-G179))*futMult</f>
        <v>250</v>
      </c>
      <c r="Q179">
        <f t="shared" ca="1" si="21"/>
        <v>-14.684082644683384</v>
      </c>
      <c r="R179" s="32">
        <f t="shared" ca="1" si="25"/>
        <v>1.1613799170142958</v>
      </c>
      <c r="S179" s="17">
        <f t="shared" ca="1" si="26"/>
        <v>-14.684082644683384</v>
      </c>
      <c r="T179" s="24">
        <f t="shared" ca="1" si="27"/>
        <v>4047.154549425577</v>
      </c>
      <c r="U179" s="24">
        <f t="shared" ca="1" si="28"/>
        <v>3864.8471494716819</v>
      </c>
      <c r="V179" s="24">
        <f ca="1">S178*(O179-O178)*futMult</f>
        <v>-3864.8471494716823</v>
      </c>
      <c r="W179" s="24">
        <f ca="1">T179+V179</f>
        <v>182.30739995389467</v>
      </c>
      <c r="X179" s="24">
        <f ca="1">X178+T179</f>
        <v>148246.4999837245</v>
      </c>
      <c r="Y179" s="24">
        <f t="shared" ca="1" si="29"/>
        <v>-50662.048656230385</v>
      </c>
      <c r="Z179" s="24"/>
    </row>
    <row r="180" spans="6:26" x14ac:dyDescent="0.25">
      <c r="F180" s="18">
        <f t="shared" si="22"/>
        <v>177</v>
      </c>
      <c r="G180">
        <f t="shared" si="20"/>
        <v>0.70238095238095233</v>
      </c>
      <c r="H180" s="8">
        <v>-2.0733414226236615E-2</v>
      </c>
      <c r="I180" s="8">
        <f ca="1">(interestRate-dividend-0.5*sigma^2)*1/252+sigma*SQRT(1/252)*_xlfn.NORM.S.INV(RAND())</f>
        <v>-1.5774509467512333E-2</v>
      </c>
      <c r="J180" s="27">
        <f t="shared" ca="1" si="23"/>
        <v>116.79481948401023</v>
      </c>
      <c r="K180" s="20">
        <f t="shared" ca="1" si="24"/>
        <v>116.79481948401023</v>
      </c>
      <c r="L180" s="20">
        <f ca="1">BlackScholes(OptType,"Price",K180,Strike,time-G180,0,sigma,interestRate,dividend)</f>
        <v>4.1955459794932546</v>
      </c>
      <c r="M180" s="21">
        <f ca="1">L180*units*optMult*IF(Side="Short",-1,1)</f>
        <v>-41955.459794932547</v>
      </c>
      <c r="N180" s="6">
        <f ca="1">BlackScholes(OptType,"Delta",K180,Strike,time-G180,0,sigma,interestRate,dividend)*IF(Side="Short",-1,1)*units*optMult</f>
        <v>4221.1278562536345</v>
      </c>
      <c r="O180" s="6">
        <f ca="1">K180*EXP((interestRate-dividend)*(time-G180))</f>
        <v>116.79481948401023</v>
      </c>
      <c r="P180" s="19">
        <f>EXP((interestRate-dividend)*(time-G180))*futMult</f>
        <v>250</v>
      </c>
      <c r="Q180">
        <f t="shared" ca="1" si="21"/>
        <v>-16.884511425014537</v>
      </c>
      <c r="R180" s="32">
        <f t="shared" ca="1" si="25"/>
        <v>-2.2004287803311531</v>
      </c>
      <c r="S180" s="17">
        <f t="shared" ca="1" si="26"/>
        <v>-16.884511425014537</v>
      </c>
      <c r="T180" s="24">
        <f t="shared" ca="1" si="27"/>
        <v>-6993.908304323726</v>
      </c>
      <c r="U180" s="24">
        <f t="shared" ca="1" si="28"/>
        <v>-6817.0450758739662</v>
      </c>
      <c r="V180" s="24">
        <f ca="1">S179*(O180-O179)*futMult</f>
        <v>6817.0450758739671</v>
      </c>
      <c r="W180" s="24">
        <f ca="1">T180+V180</f>
        <v>-176.86322844975894</v>
      </c>
      <c r="X180" s="24">
        <f ca="1">X179+T180</f>
        <v>141252.59167940076</v>
      </c>
      <c r="Y180" s="24">
        <f t="shared" ca="1" si="29"/>
        <v>-43845.003580356417</v>
      </c>
      <c r="Z180" s="24"/>
    </row>
    <row r="181" spans="6:26" x14ac:dyDescent="0.25">
      <c r="F181" s="18">
        <f t="shared" si="22"/>
        <v>178</v>
      </c>
      <c r="G181">
        <f t="shared" si="20"/>
        <v>0.70634920634920639</v>
      </c>
      <c r="H181" s="8">
        <v>-6.3113290774877276E-2</v>
      </c>
      <c r="I181" s="8">
        <f ca="1">(interestRate-dividend-0.5*sigma^2)*1/252+sigma*SQRT(1/252)*_xlfn.NORM.S.INV(RAND())</f>
        <v>-5.1505490078777112E-4</v>
      </c>
      <c r="J181" s="27">
        <f t="shared" ca="1" si="23"/>
        <v>116.73467922894443</v>
      </c>
      <c r="K181" s="20">
        <f t="shared" ca="1" si="24"/>
        <v>116.73467922894443</v>
      </c>
      <c r="L181" s="20">
        <f ca="1">BlackScholes(OptType,"Price",K181,Strike,time-G181,0,sigma,interestRate,dividend)</f>
        <v>4.1876199093553055</v>
      </c>
      <c r="M181" s="21">
        <f ca="1">L181*units*optMult*IF(Side="Short",-1,1)</f>
        <v>-41876.199093553056</v>
      </c>
      <c r="N181" s="6">
        <f ca="1">BlackScholes(OptType,"Delta",K181,Strike,time-G181,0,sigma,interestRate,dividend)*IF(Side="Short",-1,1)*units*optMult</f>
        <v>4237.4188252242029</v>
      </c>
      <c r="O181" s="6">
        <f ca="1">K181*EXP((interestRate-dividend)*(time-G181))</f>
        <v>116.73467922894443</v>
      </c>
      <c r="P181" s="19">
        <f>EXP((interestRate-dividend)*(time-G181))*futMult</f>
        <v>250</v>
      </c>
      <c r="Q181">
        <f t="shared" ca="1" si="21"/>
        <v>-16.949675300896811</v>
      </c>
      <c r="R181" s="32">
        <f t="shared" ca="1" si="25"/>
        <v>-6.5163875882273459E-2</v>
      </c>
      <c r="S181" s="17">
        <f t="shared" ca="1" si="26"/>
        <v>-16.949675300896811</v>
      </c>
      <c r="T181" s="24">
        <f t="shared" ca="1" si="27"/>
        <v>79.260701379491366</v>
      </c>
      <c r="U181" s="24">
        <f t="shared" ca="1" si="28"/>
        <v>-253.85970594046265</v>
      </c>
      <c r="V181" s="24">
        <f ca="1">S180*(O181-O180)*futMult</f>
        <v>253.85970594046265</v>
      </c>
      <c r="W181" s="24">
        <f ca="1">T181+V181</f>
        <v>333.12040731995398</v>
      </c>
      <c r="X181" s="24">
        <f ca="1">X180+T181</f>
        <v>141331.85238078027</v>
      </c>
      <c r="Y181" s="24">
        <f t="shared" ca="1" si="29"/>
        <v>-43591.143874415953</v>
      </c>
      <c r="Z181" s="24"/>
    </row>
    <row r="182" spans="6:26" x14ac:dyDescent="0.25">
      <c r="F182" s="18">
        <f t="shared" si="22"/>
        <v>179</v>
      </c>
      <c r="G182">
        <f t="shared" si="20"/>
        <v>0.71031746031746035</v>
      </c>
      <c r="H182" s="8">
        <v>-2.527901747244423E-2</v>
      </c>
      <c r="I182" s="8">
        <f ca="1">(interestRate-dividend-0.5*sigma^2)*1/252+sigma*SQRT(1/252)*_xlfn.NORM.S.INV(RAND())</f>
        <v>-1.2640689195761924E-2</v>
      </c>
      <c r="J182" s="27">
        <f t="shared" ca="1" si="23"/>
        <v>115.26835960063796</v>
      </c>
      <c r="K182" s="20">
        <f t="shared" ca="1" si="24"/>
        <v>115.26835960063796</v>
      </c>
      <c r="L182" s="20">
        <f ca="1">BlackScholes(OptType,"Price",K182,Strike,time-G182,0,sigma,interestRate,dividend)</f>
        <v>4.8088992007560067</v>
      </c>
      <c r="M182" s="21">
        <f ca="1">L182*units*optMult*IF(Side="Short",-1,1)</f>
        <v>-48088.992007560068</v>
      </c>
      <c r="N182" s="6">
        <f ca="1">BlackScholes(OptType,"Delta",K182,Strike,time-G182,0,sigma,interestRate,dividend)*IF(Side="Short",-1,1)*units*optMult</f>
        <v>4699.1825251034779</v>
      </c>
      <c r="O182" s="6">
        <f ca="1">K182*EXP((interestRate-dividend)*(time-G182))</f>
        <v>115.26835960063796</v>
      </c>
      <c r="P182" s="19">
        <f>EXP((interestRate-dividend)*(time-G182))*futMult</f>
        <v>250</v>
      </c>
      <c r="Q182">
        <f t="shared" ca="1" si="21"/>
        <v>-18.79673010041391</v>
      </c>
      <c r="R182" s="32">
        <f t="shared" ca="1" si="25"/>
        <v>-1.8470547995170996</v>
      </c>
      <c r="S182" s="17">
        <f t="shared" ca="1" si="26"/>
        <v>-18.79673010041391</v>
      </c>
      <c r="T182" s="24">
        <f t="shared" ca="1" si="27"/>
        <v>-6212.7929140070119</v>
      </c>
      <c r="U182" s="24">
        <f t="shared" ca="1" si="28"/>
        <v>-6213.4103967815709</v>
      </c>
      <c r="V182" s="24">
        <f ca="1">S181*(O182-O181)*futMult</f>
        <v>6213.4103967815709</v>
      </c>
      <c r="W182" s="24">
        <f ca="1">T182+V182</f>
        <v>0.6174827745589937</v>
      </c>
      <c r="X182" s="24">
        <f ca="1">X181+T182</f>
        <v>135119.05946677327</v>
      </c>
      <c r="Y182" s="24">
        <f t="shared" ca="1" si="29"/>
        <v>-37377.733477634385</v>
      </c>
      <c r="Z182" s="24"/>
    </row>
    <row r="183" spans="6:26" x14ac:dyDescent="0.25">
      <c r="F183" s="18">
        <f t="shared" si="22"/>
        <v>180</v>
      </c>
      <c r="G183">
        <f t="shared" si="20"/>
        <v>0.7142857142857143</v>
      </c>
      <c r="H183" s="8">
        <v>5.9944102923220523E-3</v>
      </c>
      <c r="I183" s="8">
        <f ca="1">(interestRate-dividend-0.5*sigma^2)*1/252+sigma*SQRT(1/252)*_xlfn.NORM.S.INV(RAND())</f>
        <v>8.5534361683110003E-4</v>
      </c>
      <c r="J183" s="27">
        <f t="shared" ca="1" si="23"/>
        <v>115.3669958341677</v>
      </c>
      <c r="K183" s="20">
        <f t="shared" ca="1" si="24"/>
        <v>115.3669958341677</v>
      </c>
      <c r="L183" s="20">
        <f ca="1">BlackScholes(OptType,"Price",K183,Strike,time-G183,0,sigma,interestRate,dividend)</f>
        <v>4.7287715447538723</v>
      </c>
      <c r="M183" s="21">
        <f ca="1">L183*units*optMult*IF(Side="Short",-1,1)</f>
        <v>-47287.715447538721</v>
      </c>
      <c r="N183" s="6">
        <f ca="1">BlackScholes(OptType,"Delta",K183,Strike,time-G183,0,sigma,interestRate,dividend)*IF(Side="Short",-1,1)*units*optMult</f>
        <v>4668.2387471083521</v>
      </c>
      <c r="O183" s="6">
        <f ca="1">K183*EXP((interestRate-dividend)*(time-G183))</f>
        <v>115.3669958341677</v>
      </c>
      <c r="P183" s="19">
        <f>EXP((interestRate-dividend)*(time-G183))*futMult</f>
        <v>250</v>
      </c>
      <c r="Q183">
        <f t="shared" ca="1" si="21"/>
        <v>-18.672954988433407</v>
      </c>
      <c r="R183" s="32">
        <f t="shared" ca="1" si="25"/>
        <v>0.12377511198050328</v>
      </c>
      <c r="S183" s="17">
        <f t="shared" ca="1" si="26"/>
        <v>-18.672954988433407</v>
      </c>
      <c r="T183" s="24">
        <f t="shared" ca="1" si="27"/>
        <v>801.27656002134609</v>
      </c>
      <c r="U183" s="24">
        <f t="shared" ca="1" si="28"/>
        <v>463.50966494493997</v>
      </c>
      <c r="V183" s="24">
        <f ca="1">S182*(O183-O182)*futMult</f>
        <v>-463.50966494493997</v>
      </c>
      <c r="W183" s="24">
        <f ca="1">T183+V183</f>
        <v>337.76689507640612</v>
      </c>
      <c r="X183" s="24">
        <f ca="1">X182+T183</f>
        <v>135920.33602679463</v>
      </c>
      <c r="Y183" s="24">
        <f t="shared" ca="1" si="29"/>
        <v>-37841.243142579326</v>
      </c>
      <c r="Z183" s="24"/>
    </row>
    <row r="184" spans="6:26" x14ac:dyDescent="0.25">
      <c r="F184" s="18">
        <f t="shared" si="22"/>
        <v>181</v>
      </c>
      <c r="G184">
        <f t="shared" si="20"/>
        <v>0.71825396825396826</v>
      </c>
      <c r="H184" s="8">
        <v>5.5770436499988668E-2</v>
      </c>
      <c r="I184" s="8">
        <f ca="1">(interestRate-dividend-0.5*sigma^2)*1/252+sigma*SQRT(1/252)*_xlfn.NORM.S.INV(RAND())</f>
        <v>-2.8831308583606163E-3</v>
      </c>
      <c r="J184" s="27">
        <f t="shared" ca="1" si="23"/>
        <v>115.03485671878221</v>
      </c>
      <c r="K184" s="20">
        <f t="shared" ca="1" si="24"/>
        <v>115.03485671878221</v>
      </c>
      <c r="L184" s="20">
        <f ca="1">BlackScholes(OptType,"Price",K184,Strike,time-G184,0,sigma,interestRate,dividend)</f>
        <v>4.8514675528029372</v>
      </c>
      <c r="M184" s="21">
        <f ca="1">L184*units*optMult*IF(Side="Short",-1,1)</f>
        <v>-48514.675528029373</v>
      </c>
      <c r="N184" s="6">
        <f ca="1">BlackScholes(OptType,"Delta",K184,Strike,time-G184,0,sigma,interestRate,dividend)*IF(Side="Short",-1,1)*units*optMult</f>
        <v>4776.9700250080004</v>
      </c>
      <c r="O184" s="6">
        <f ca="1">K184*EXP((interestRate-dividend)*(time-G184))</f>
        <v>115.03485671878221</v>
      </c>
      <c r="P184" s="19">
        <f>EXP((interestRate-dividend)*(time-G184))*futMult</f>
        <v>250</v>
      </c>
      <c r="Q184">
        <f t="shared" ca="1" si="21"/>
        <v>-19.107880100032002</v>
      </c>
      <c r="R184" s="32">
        <f t="shared" ca="1" si="25"/>
        <v>-0.43492511159859504</v>
      </c>
      <c r="S184" s="17">
        <f t="shared" ca="1" si="26"/>
        <v>-19.107880100032002</v>
      </c>
      <c r="T184" s="24">
        <f t="shared" ca="1" si="27"/>
        <v>-1226.9600804906513</v>
      </c>
      <c r="U184" s="24">
        <f t="shared" ca="1" si="28"/>
        <v>-1550.5046878728249</v>
      </c>
      <c r="V184" s="24">
        <f ca="1">S183*(O184-O183)*futMult</f>
        <v>1550.5046878728249</v>
      </c>
      <c r="W184" s="24">
        <f ca="1">T184+V184</f>
        <v>323.54460738217358</v>
      </c>
      <c r="X184" s="24">
        <f ca="1">X183+T184</f>
        <v>134693.37594630398</v>
      </c>
      <c r="Y184" s="24">
        <f t="shared" ca="1" si="29"/>
        <v>-36290.738454706501</v>
      </c>
      <c r="Z184" s="24"/>
    </row>
    <row r="185" spans="6:26" x14ac:dyDescent="0.25">
      <c r="F185" s="18">
        <f t="shared" si="22"/>
        <v>182</v>
      </c>
      <c r="G185">
        <f t="shared" si="20"/>
        <v>0.72222222222222221</v>
      </c>
      <c r="H185" s="8">
        <v>2.9021397962045871E-2</v>
      </c>
      <c r="I185" s="8">
        <f ca="1">(interestRate-dividend-0.5*sigma^2)*1/252+sigma*SQRT(1/252)*_xlfn.NORM.S.INV(RAND())</f>
        <v>1.8354380437951918E-2</v>
      </c>
      <c r="J185" s="27">
        <f t="shared" ca="1" si="23"/>
        <v>117.16574599745822</v>
      </c>
      <c r="K185" s="20">
        <f t="shared" ca="1" si="24"/>
        <v>117.16574599745822</v>
      </c>
      <c r="L185" s="20">
        <f ca="1">BlackScholes(OptType,"Price",K185,Strike,time-G185,0,sigma,interestRate,dividend)</f>
        <v>3.8725684322969758</v>
      </c>
      <c r="M185" s="21">
        <f ca="1">L185*units*optMult*IF(Side="Short",-1,1)</f>
        <v>-38725.684322969755</v>
      </c>
      <c r="N185" s="6">
        <f ca="1">BlackScholes(OptType,"Delta",K185,Strike,time-G185,0,sigma,interestRate,dividend)*IF(Side="Short",-1,1)*units*optMult</f>
        <v>4091.6065591219999</v>
      </c>
      <c r="O185" s="6">
        <f ca="1">K185*EXP((interestRate-dividend)*(time-G185))</f>
        <v>117.16574599745822</v>
      </c>
      <c r="P185" s="19">
        <f>EXP((interestRate-dividend)*(time-G185))*futMult</f>
        <v>250</v>
      </c>
      <c r="Q185">
        <f t="shared" ca="1" si="21"/>
        <v>-16.366426236488</v>
      </c>
      <c r="R185" s="32">
        <f t="shared" ca="1" si="25"/>
        <v>2.7414538635440024</v>
      </c>
      <c r="S185" s="17">
        <f t="shared" ca="1" si="26"/>
        <v>-16.366426236488</v>
      </c>
      <c r="T185" s="24">
        <f t="shared" ca="1" si="27"/>
        <v>9788.9912050596176</v>
      </c>
      <c r="U185" s="24">
        <f t="shared" ca="1" si="28"/>
        <v>10179.194210846212</v>
      </c>
      <c r="V185" s="24">
        <f ca="1">S184*(O185-O184)*futMult</f>
        <v>-10179.194210846212</v>
      </c>
      <c r="W185" s="24">
        <f ca="1">T185+V185</f>
        <v>-390.20300578659408</v>
      </c>
      <c r="X185" s="24">
        <f ca="1">X184+T185</f>
        <v>144482.36715136358</v>
      </c>
      <c r="Y185" s="24">
        <f t="shared" ca="1" si="29"/>
        <v>-46469.932665552711</v>
      </c>
      <c r="Z185" s="24"/>
    </row>
    <row r="186" spans="6:26" x14ac:dyDescent="0.25">
      <c r="F186" s="18">
        <f t="shared" si="22"/>
        <v>183</v>
      </c>
      <c r="G186">
        <f t="shared" si="20"/>
        <v>0.72619047619047616</v>
      </c>
      <c r="H186" s="8">
        <v>3.2712995001087288E-3</v>
      </c>
      <c r="I186" s="8">
        <f ca="1">(interestRate-dividend-0.5*sigma^2)*1/252+sigma*SQRT(1/252)*_xlfn.NORM.S.INV(RAND())</f>
        <v>-8.2523271368426711E-3</v>
      </c>
      <c r="J186" s="27">
        <f t="shared" ca="1" si="23"/>
        <v>116.20283452707255</v>
      </c>
      <c r="K186" s="20">
        <f t="shared" ca="1" si="24"/>
        <v>116.20283452707255</v>
      </c>
      <c r="L186" s="20">
        <f ca="1">BlackScholes(OptType,"Price",K186,Strike,time-G186,0,sigma,interestRate,dividend)</f>
        <v>4.2466302246562382</v>
      </c>
      <c r="M186" s="21">
        <f ca="1">L186*units*optMult*IF(Side="Short",-1,1)</f>
        <v>-42466.302246562387</v>
      </c>
      <c r="N186" s="6">
        <f ca="1">BlackScholes(OptType,"Delta",K186,Strike,time-G186,0,sigma,interestRate,dividend)*IF(Side="Short",-1,1)*units*optMult</f>
        <v>4396.916363437198</v>
      </c>
      <c r="O186" s="6">
        <f ca="1">K186*EXP((interestRate-dividend)*(time-G186))</f>
        <v>116.20283452707255</v>
      </c>
      <c r="P186" s="19">
        <f>EXP((interestRate-dividend)*(time-G186))*futMult</f>
        <v>250</v>
      </c>
      <c r="Q186">
        <f t="shared" ca="1" si="21"/>
        <v>-17.587665453748791</v>
      </c>
      <c r="R186" s="32">
        <f t="shared" ca="1" si="25"/>
        <v>-1.2212392172607913</v>
      </c>
      <c r="S186" s="17">
        <f t="shared" ca="1" si="26"/>
        <v>-17.587665453748791</v>
      </c>
      <c r="T186" s="24">
        <f t="shared" ca="1" si="27"/>
        <v>-3740.617923592632</v>
      </c>
      <c r="U186" s="24">
        <f t="shared" ca="1" si="28"/>
        <v>-3939.854888083788</v>
      </c>
      <c r="V186" s="24">
        <f ca="1">S185*(O186-O185)*futMult</f>
        <v>3939.854888083788</v>
      </c>
      <c r="W186" s="24">
        <f ca="1">T186+V186</f>
        <v>199.23696449115596</v>
      </c>
      <c r="X186" s="24">
        <f ca="1">X185+T186</f>
        <v>140741.74922777095</v>
      </c>
      <c r="Y186" s="24">
        <f t="shared" ca="1" si="29"/>
        <v>-42530.07777746892</v>
      </c>
      <c r="Z186" s="24"/>
    </row>
    <row r="187" spans="6:26" x14ac:dyDescent="0.25">
      <c r="F187" s="18">
        <f t="shared" si="22"/>
        <v>184</v>
      </c>
      <c r="G187">
        <f t="shared" si="20"/>
        <v>0.73015873015873012</v>
      </c>
      <c r="H187" s="8">
        <v>-4.6892366394854354E-3</v>
      </c>
      <c r="I187" s="8">
        <f ca="1">(interestRate-dividend-0.5*sigma^2)*1/252+sigma*SQRT(1/252)*_xlfn.NORM.S.INV(RAND())</f>
        <v>4.7295622505281317E-3</v>
      </c>
      <c r="J187" s="27">
        <f t="shared" ca="1" si="23"/>
        <v>116.75372477462177</v>
      </c>
      <c r="K187" s="20">
        <f t="shared" ca="1" si="24"/>
        <v>116.75372477462177</v>
      </c>
      <c r="L187" s="20">
        <f ca="1">BlackScholes(OptType,"Price",K187,Strike,time-G187,0,sigma,interestRate,dividend)</f>
        <v>3.9745408532090538</v>
      </c>
      <c r="M187" s="21">
        <f ca="1">L187*units*optMult*IF(Side="Short",-1,1)</f>
        <v>-39745.408532090536</v>
      </c>
      <c r="N187" s="6">
        <f ca="1">BlackScholes(OptType,"Delta",K187,Strike,time-G187,0,sigma,interestRate,dividend)*IF(Side="Short",-1,1)*units*optMult</f>
        <v>4216.7020697109547</v>
      </c>
      <c r="O187" s="6">
        <f ca="1">K187*EXP((interestRate-dividend)*(time-G187))</f>
        <v>116.75372477462177</v>
      </c>
      <c r="P187" s="19">
        <f>EXP((interestRate-dividend)*(time-G187))*futMult</f>
        <v>250</v>
      </c>
      <c r="Q187">
        <f t="shared" ca="1" si="21"/>
        <v>-16.86680827884382</v>
      </c>
      <c r="R187" s="32">
        <f t="shared" ca="1" si="25"/>
        <v>0.72085717490497103</v>
      </c>
      <c r="S187" s="17">
        <f t="shared" ca="1" si="26"/>
        <v>-16.86680827884382</v>
      </c>
      <c r="T187" s="24">
        <f t="shared" ca="1" si="27"/>
        <v>2720.8937144718511</v>
      </c>
      <c r="U187" s="24">
        <f t="shared" ca="1" si="28"/>
        <v>2422.2183439071309</v>
      </c>
      <c r="V187" s="24">
        <f ca="1">S186*(O187-O186)*futMult</f>
        <v>-2422.2183439071309</v>
      </c>
      <c r="W187" s="24">
        <f ca="1">T187+V187</f>
        <v>298.6753705647202</v>
      </c>
      <c r="X187" s="24">
        <f ca="1">X186+T187</f>
        <v>143462.64294224279</v>
      </c>
      <c r="Y187" s="24">
        <f t="shared" ca="1" si="29"/>
        <v>-44952.29612137605</v>
      </c>
      <c r="Z187" s="24"/>
    </row>
    <row r="188" spans="6:26" x14ac:dyDescent="0.25">
      <c r="F188" s="18">
        <f t="shared" si="22"/>
        <v>185</v>
      </c>
      <c r="G188">
        <f t="shared" si="20"/>
        <v>0.73412698412698407</v>
      </c>
      <c r="H188" s="8">
        <v>-4.5726398302513745E-2</v>
      </c>
      <c r="I188" s="8">
        <f ca="1">(interestRate-dividend-0.5*sigma^2)*1/252+sigma*SQRT(1/252)*_xlfn.NORM.S.INV(RAND())</f>
        <v>-4.5172408789997037E-4</v>
      </c>
      <c r="J188" s="27">
        <f t="shared" ca="1" si="23"/>
        <v>116.7009962150659</v>
      </c>
      <c r="K188" s="20">
        <f t="shared" ca="1" si="24"/>
        <v>116.7009962150659</v>
      </c>
      <c r="L188" s="20">
        <f ca="1">BlackScholes(OptType,"Price",K188,Strike,time-G188,0,sigma,interestRate,dividend)</f>
        <v>3.9617852683256669</v>
      </c>
      <c r="M188" s="21">
        <f ca="1">L188*units*optMult*IF(Side="Short",-1,1)</f>
        <v>-39617.852683256671</v>
      </c>
      <c r="N188" s="6">
        <f ca="1">BlackScholes(OptType,"Delta",K188,Strike,time-G188,0,sigma,interestRate,dividend)*IF(Side="Short",-1,1)*units*optMult</f>
        <v>4231.1067401170931</v>
      </c>
      <c r="O188" s="6">
        <f ca="1">K188*EXP((interestRate-dividend)*(time-G188))</f>
        <v>116.7009962150659</v>
      </c>
      <c r="P188" s="19">
        <f>EXP((interestRate-dividend)*(time-G188))*futMult</f>
        <v>250</v>
      </c>
      <c r="Q188">
        <f t="shared" ca="1" si="21"/>
        <v>-16.924426960468374</v>
      </c>
      <c r="R188" s="32">
        <f t="shared" ca="1" si="25"/>
        <v>-5.7618681624553858E-2</v>
      </c>
      <c r="S188" s="17">
        <f t="shared" ca="1" si="26"/>
        <v>-16.924426960468374</v>
      </c>
      <c r="T188" s="24">
        <f t="shared" ca="1" si="27"/>
        <v>127.55584883386473</v>
      </c>
      <c r="U188" s="24">
        <f t="shared" ca="1" si="28"/>
        <v>-222.34062621213016</v>
      </c>
      <c r="V188" s="24">
        <f ca="1">S187*(O188-O187)*futMult</f>
        <v>222.34062621213016</v>
      </c>
      <c r="W188" s="24">
        <f ca="1">T188+V188</f>
        <v>349.89647504599486</v>
      </c>
      <c r="X188" s="24">
        <f ca="1">X187+T188</f>
        <v>143590.19879107666</v>
      </c>
      <c r="Y188" s="24">
        <f t="shared" ca="1" si="29"/>
        <v>-44729.955495163922</v>
      </c>
      <c r="Z188" s="24"/>
    </row>
    <row r="189" spans="6:26" x14ac:dyDescent="0.25">
      <c r="F189" s="18">
        <f t="shared" si="22"/>
        <v>186</v>
      </c>
      <c r="G189">
        <f t="shared" si="20"/>
        <v>0.73809523809523814</v>
      </c>
      <c r="H189" s="8">
        <v>4.1994719160888476E-2</v>
      </c>
      <c r="I189" s="8">
        <f ca="1">(interestRate-dividend-0.5*sigma^2)*1/252+sigma*SQRT(1/252)*_xlfn.NORM.S.INV(RAND())</f>
        <v>-6.8679077638911599E-3</v>
      </c>
      <c r="J189" s="27">
        <f t="shared" ca="1" si="23"/>
        <v>115.90225053255477</v>
      </c>
      <c r="K189" s="20">
        <f t="shared" ca="1" si="24"/>
        <v>115.90225053255477</v>
      </c>
      <c r="L189" s="20">
        <f ca="1">BlackScholes(OptType,"Price",K189,Strike,time-G189,0,sigma,interestRate,dividend)</f>
        <v>4.2747555659261502</v>
      </c>
      <c r="M189" s="21">
        <f ca="1">L189*units*optMult*IF(Side="Short",-1,1)</f>
        <v>-42747.555659261503</v>
      </c>
      <c r="N189" s="6">
        <f ca="1">BlackScholes(OptType,"Delta",K189,Strike,time-G189,0,sigma,interestRate,dividend)*IF(Side="Short",-1,1)*units*optMult</f>
        <v>4492.6037528295956</v>
      </c>
      <c r="O189" s="6">
        <f ca="1">K189*EXP((interestRate-dividend)*(time-G189))</f>
        <v>115.90225053255477</v>
      </c>
      <c r="P189" s="19">
        <f>EXP((interestRate-dividend)*(time-G189))*futMult</f>
        <v>250</v>
      </c>
      <c r="Q189">
        <f t="shared" ca="1" si="21"/>
        <v>-17.970415011318384</v>
      </c>
      <c r="R189" s="32">
        <f t="shared" ca="1" si="25"/>
        <v>-1.0459880508500099</v>
      </c>
      <c r="S189" s="17">
        <f t="shared" ca="1" si="26"/>
        <v>-17.970415011318384</v>
      </c>
      <c r="T189" s="24">
        <f t="shared" ca="1" si="27"/>
        <v>-3129.7029760048317</v>
      </c>
      <c r="U189" s="24">
        <f t="shared" ca="1" si="28"/>
        <v>-3379.5782409122494</v>
      </c>
      <c r="V189" s="24">
        <f ca="1">S188*(O189-O188)*futMult</f>
        <v>3379.5782409122498</v>
      </c>
      <c r="W189" s="24">
        <f ca="1">T189+V189</f>
        <v>249.87526490741811</v>
      </c>
      <c r="X189" s="24">
        <f ca="1">X188+T189</f>
        <v>140460.49581507183</v>
      </c>
      <c r="Y189" s="24">
        <f t="shared" ca="1" si="29"/>
        <v>-41350.377254251674</v>
      </c>
      <c r="Z189" s="24"/>
    </row>
    <row r="190" spans="6:26" x14ac:dyDescent="0.25">
      <c r="F190" s="18">
        <f t="shared" si="22"/>
        <v>187</v>
      </c>
      <c r="G190">
        <f t="shared" si="20"/>
        <v>0.74206349206349209</v>
      </c>
      <c r="H190" s="8">
        <v>-1.7691629319493949E-2</v>
      </c>
      <c r="I190" s="8">
        <f ca="1">(interestRate-dividend-0.5*sigma^2)*1/252+sigma*SQRT(1/252)*_xlfn.NORM.S.INV(RAND())</f>
        <v>2.7983826875839567E-3</v>
      </c>
      <c r="J190" s="27">
        <f t="shared" ca="1" si="23"/>
        <v>116.22704361961998</v>
      </c>
      <c r="K190" s="20">
        <f t="shared" ca="1" si="24"/>
        <v>116.22704361961998</v>
      </c>
      <c r="L190" s="20">
        <f ca="1">BlackScholes(OptType,"Price",K190,Strike,time-G190,0,sigma,interestRate,dividend)</f>
        <v>4.0949348268768455</v>
      </c>
      <c r="M190" s="21">
        <f ca="1">L190*units*optMult*IF(Side="Short",-1,1)</f>
        <v>-40949.348268768452</v>
      </c>
      <c r="N190" s="6">
        <f ca="1">BlackScholes(OptType,"Delta",K190,Strike,time-G190,0,sigma,interestRate,dividend)*IF(Side="Short",-1,1)*units*optMult</f>
        <v>4383.0183529184678</v>
      </c>
      <c r="O190" s="6">
        <f ca="1">K190*EXP((interestRate-dividend)*(time-G190))</f>
        <v>116.22704361961998</v>
      </c>
      <c r="P190" s="19">
        <f>EXP((interestRate-dividend)*(time-G190))*futMult</f>
        <v>250</v>
      </c>
      <c r="Q190">
        <f t="shared" ca="1" si="21"/>
        <v>-17.532073411673871</v>
      </c>
      <c r="R190" s="32">
        <f t="shared" ca="1" si="25"/>
        <v>0.43834159964451302</v>
      </c>
      <c r="S190" s="17">
        <f t="shared" ca="1" si="26"/>
        <v>-17.532073411673871</v>
      </c>
      <c r="T190" s="24">
        <f t="shared" ca="1" si="27"/>
        <v>1798.2073904930512</v>
      </c>
      <c r="U190" s="24">
        <f t="shared" ca="1" si="28"/>
        <v>1459.1666418422392</v>
      </c>
      <c r="V190" s="24">
        <f ca="1">S189*(O190-O189)*futMult</f>
        <v>-1459.1666418422394</v>
      </c>
      <c r="W190" s="24">
        <f ca="1">T190+V190</f>
        <v>339.04074865081179</v>
      </c>
      <c r="X190" s="24">
        <f ca="1">X189+T190</f>
        <v>142258.70320556487</v>
      </c>
      <c r="Y190" s="24">
        <f t="shared" ca="1" si="29"/>
        <v>-42809.543896093914</v>
      </c>
      <c r="Z190" s="24"/>
    </row>
    <row r="191" spans="6:26" x14ac:dyDescent="0.25">
      <c r="F191" s="18">
        <f t="shared" si="22"/>
        <v>188</v>
      </c>
      <c r="G191">
        <f t="shared" si="20"/>
        <v>0.74603174603174605</v>
      </c>
      <c r="H191" s="8">
        <v>-1.0016474202138746E-2</v>
      </c>
      <c r="I191" s="8">
        <f ca="1">(interestRate-dividend-0.5*sigma^2)*1/252+sigma*SQRT(1/252)*_xlfn.NORM.S.INV(RAND())</f>
        <v>-1.6291638140017616E-2</v>
      </c>
      <c r="J191" s="27">
        <f t="shared" ca="1" si="23"/>
        <v>114.3488556044455</v>
      </c>
      <c r="K191" s="20">
        <f t="shared" ca="1" si="24"/>
        <v>114.3488556044455</v>
      </c>
      <c r="L191" s="20">
        <f ca="1">BlackScholes(OptType,"Price",K191,Strike,time-G191,0,sigma,interestRate,dividend)</f>
        <v>4.9419403849029218</v>
      </c>
      <c r="M191" s="21">
        <f ca="1">L191*units*optMult*IF(Side="Short",-1,1)</f>
        <v>-49419.403849029222</v>
      </c>
      <c r="N191" s="6">
        <f ca="1">BlackScholes(OptType,"Delta",K191,Strike,time-G191,0,sigma,interestRate,dividend)*IF(Side="Short",-1,1)*units*optMult</f>
        <v>5023.7031659773047</v>
      </c>
      <c r="O191" s="6">
        <f ca="1">K191*EXP((interestRate-dividend)*(time-G191))</f>
        <v>114.3488556044455</v>
      </c>
      <c r="P191" s="19">
        <f>EXP((interestRate-dividend)*(time-G191))*futMult</f>
        <v>250</v>
      </c>
      <c r="Q191">
        <f t="shared" ca="1" si="21"/>
        <v>-20.09481266390922</v>
      </c>
      <c r="R191" s="32">
        <f t="shared" ca="1" si="25"/>
        <v>-2.5627392522353496</v>
      </c>
      <c r="S191" s="17">
        <f t="shared" ca="1" si="26"/>
        <v>-20.09481266390922</v>
      </c>
      <c r="T191" s="24">
        <f t="shared" ca="1" si="27"/>
        <v>-8470.0555802607705</v>
      </c>
      <c r="U191" s="24">
        <f t="shared" ca="1" si="28"/>
        <v>-8232.1325407412241</v>
      </c>
      <c r="V191" s="24">
        <f ca="1">S190*(O191-O190)*futMult</f>
        <v>8232.1325407412241</v>
      </c>
      <c r="W191" s="24">
        <f ca="1">T191+V191</f>
        <v>-237.92303951954636</v>
      </c>
      <c r="X191" s="24">
        <f ca="1">X190+T191</f>
        <v>133788.64762530412</v>
      </c>
      <c r="Y191" s="24">
        <f t="shared" ca="1" si="29"/>
        <v>-34577.411355352691</v>
      </c>
      <c r="Z191" s="24"/>
    </row>
    <row r="192" spans="6:26" x14ac:dyDescent="0.25">
      <c r="F192" s="18">
        <f t="shared" si="22"/>
        <v>189</v>
      </c>
      <c r="G192">
        <f t="shared" si="20"/>
        <v>0.75</v>
      </c>
      <c r="H192" s="8">
        <v>2.7441021392290883E-2</v>
      </c>
      <c r="I192" s="8">
        <f ca="1">(interestRate-dividend-0.5*sigma^2)*1/252+sigma*SQRT(1/252)*_xlfn.NORM.S.INV(RAND())</f>
        <v>9.0896120447027055E-3</v>
      </c>
      <c r="J192" s="27">
        <f t="shared" ca="1" si="23"/>
        <v>115.39298049585915</v>
      </c>
      <c r="K192" s="20">
        <f t="shared" ca="1" si="24"/>
        <v>115.39298049585915</v>
      </c>
      <c r="L192" s="20">
        <f ca="1">BlackScholes(OptType,"Price",K192,Strike,time-G192,0,sigma,interestRate,dividend)</f>
        <v>4.3999411909254595</v>
      </c>
      <c r="M192" s="21">
        <f ca="1">L192*units*optMult*IF(Side="Short",-1,1)</f>
        <v>-43999.411909254595</v>
      </c>
      <c r="N192" s="6">
        <f ca="1">BlackScholes(OptType,"Delta",K192,Strike,time-G192,0,sigma,interestRate,dividend)*IF(Side="Short",-1,1)*units*optMult</f>
        <v>4664.829116848141</v>
      </c>
      <c r="O192" s="6">
        <f ca="1">K192*EXP((interestRate-dividend)*(time-G192))</f>
        <v>115.39298049585915</v>
      </c>
      <c r="P192" s="19">
        <f>EXP((interestRate-dividend)*(time-G192))*futMult</f>
        <v>250</v>
      </c>
      <c r="Q192">
        <f t="shared" ca="1" si="21"/>
        <v>-18.659316467392564</v>
      </c>
      <c r="R192" s="32">
        <f t="shared" ca="1" si="25"/>
        <v>1.4354961965166559</v>
      </c>
      <c r="S192" s="17">
        <f t="shared" ca="1" si="26"/>
        <v>-18.659316467392564</v>
      </c>
      <c r="T192" s="24">
        <f t="shared" ca="1" si="27"/>
        <v>5419.9919397746271</v>
      </c>
      <c r="U192" s="24">
        <f t="shared" ca="1" si="28"/>
        <v>5245.3735226704384</v>
      </c>
      <c r="V192" s="24">
        <f ca="1">S191*(O192-O191)*futMult</f>
        <v>-5245.3735226704393</v>
      </c>
      <c r="W192" s="24">
        <f ca="1">T192+V192</f>
        <v>174.61841710418776</v>
      </c>
      <c r="X192" s="24">
        <f ca="1">X191+T192</f>
        <v>139208.63956507875</v>
      </c>
      <c r="Y192" s="24">
        <f t="shared" ca="1" si="29"/>
        <v>-39822.784878023129</v>
      </c>
      <c r="Z192" s="24"/>
    </row>
    <row r="193" spans="6:26" x14ac:dyDescent="0.25">
      <c r="F193" s="18">
        <f t="shared" si="22"/>
        <v>190</v>
      </c>
      <c r="G193">
        <f t="shared" si="20"/>
        <v>0.75396825396825395</v>
      </c>
      <c r="H193" s="8">
        <v>-1.9419831726592559E-2</v>
      </c>
      <c r="I193" s="8">
        <f ca="1">(interestRate-dividend-0.5*sigma^2)*1/252+sigma*SQRT(1/252)*_xlfn.NORM.S.INV(RAND())</f>
        <v>-1.014569665971749E-2</v>
      </c>
      <c r="J193" s="27">
        <f t="shared" ca="1" si="23"/>
        <v>114.22815728233567</v>
      </c>
      <c r="K193" s="20">
        <f t="shared" ca="1" si="24"/>
        <v>114.22815728233567</v>
      </c>
      <c r="L193" s="20">
        <f ca="1">BlackScholes(OptType,"Price",K193,Strike,time-G193,0,sigma,interestRate,dividend)</f>
        <v>4.9305024318618056</v>
      </c>
      <c r="M193" s="21">
        <f ca="1">L193*units*optMult*IF(Side="Short",-1,1)</f>
        <v>-49305.02431861806</v>
      </c>
      <c r="N193" s="6">
        <f ca="1">BlackScholes(OptType,"Delta",K193,Strike,time-G193,0,sigma,interestRate,dividend)*IF(Side="Short",-1,1)*units*optMult</f>
        <v>5072.9318932719079</v>
      </c>
      <c r="O193" s="6">
        <f ca="1">K193*EXP((interestRate-dividend)*(time-G193))</f>
        <v>114.22815728233567</v>
      </c>
      <c r="P193" s="19">
        <f>EXP((interestRate-dividend)*(time-G193))*futMult</f>
        <v>250</v>
      </c>
      <c r="Q193">
        <f t="shared" ca="1" si="21"/>
        <v>-20.291727573087631</v>
      </c>
      <c r="R193" s="32">
        <f t="shared" ca="1" si="25"/>
        <v>-1.6324111056950663</v>
      </c>
      <c r="S193" s="17">
        <f t="shared" ca="1" si="26"/>
        <v>-20.291727573087631</v>
      </c>
      <c r="T193" s="24">
        <f t="shared" ca="1" si="27"/>
        <v>-5305.6124093634644</v>
      </c>
      <c r="U193" s="24">
        <f t="shared" ca="1" si="28"/>
        <v>-5433.7012424249324</v>
      </c>
      <c r="V193" s="24">
        <f ca="1">S192*(O193-O192)*futMult</f>
        <v>5433.7012424249315</v>
      </c>
      <c r="W193" s="24">
        <f ca="1">T193+V193</f>
        <v>128.08883306146708</v>
      </c>
      <c r="X193" s="24">
        <f ca="1">X192+T193</f>
        <v>133903.02715571527</v>
      </c>
      <c r="Y193" s="24">
        <f t="shared" ca="1" si="29"/>
        <v>-34389.083635598196</v>
      </c>
      <c r="Z193" s="24"/>
    </row>
    <row r="194" spans="6:26" x14ac:dyDescent="0.25">
      <c r="F194" s="18">
        <f t="shared" si="22"/>
        <v>191</v>
      </c>
      <c r="G194">
        <f t="shared" si="20"/>
        <v>0.75793650793650791</v>
      </c>
      <c r="H194" s="8">
        <v>2.1732177118360362E-2</v>
      </c>
      <c r="I194" s="8">
        <f ca="1">(interestRate-dividend-0.5*sigma^2)*1/252+sigma*SQRT(1/252)*_xlfn.NORM.S.INV(RAND())</f>
        <v>-4.3242191331770178E-3</v>
      </c>
      <c r="J194" s="27">
        <f t="shared" ca="1" si="23"/>
        <v>113.7352761301487</v>
      </c>
      <c r="K194" s="20">
        <f t="shared" ca="1" si="24"/>
        <v>113.7352761301487</v>
      </c>
      <c r="L194" s="20">
        <f ca="1">BlackScholes(OptType,"Price",K194,Strike,time-G194,0,sigma,interestRate,dividend)</f>
        <v>5.1484410001813092</v>
      </c>
      <c r="M194" s="21">
        <f ca="1">L194*units*optMult*IF(Side="Short",-1,1)</f>
        <v>-51484.410001813092</v>
      </c>
      <c r="N194" s="6">
        <f ca="1">BlackScholes(OptType,"Delta",K194,Strike,time-G194,0,sigma,interestRate,dividend)*IF(Side="Short",-1,1)*units*optMult</f>
        <v>5251.8980740706165</v>
      </c>
      <c r="O194" s="6">
        <f ca="1">K194*EXP((interestRate-dividend)*(time-G194))</f>
        <v>113.7352761301487</v>
      </c>
      <c r="P194" s="19">
        <f>EXP((interestRate-dividend)*(time-G194))*futMult</f>
        <v>250</v>
      </c>
      <c r="Q194">
        <f t="shared" ca="1" si="21"/>
        <v>-21.007592296282468</v>
      </c>
      <c r="R194" s="32">
        <f t="shared" ca="1" si="25"/>
        <v>-0.71586472319483718</v>
      </c>
      <c r="S194" s="17">
        <f t="shared" ca="1" si="26"/>
        <v>-21.007592296282468</v>
      </c>
      <c r="T194" s="24">
        <f t="shared" ca="1" si="27"/>
        <v>-2179.3856831950325</v>
      </c>
      <c r="U194" s="24">
        <f t="shared" ca="1" si="28"/>
        <v>-2500.352516521873</v>
      </c>
      <c r="V194" s="24">
        <f ca="1">S193*(O194-O193)*futMult</f>
        <v>2500.3525165218725</v>
      </c>
      <c r="W194" s="24">
        <f ca="1">T194+V194</f>
        <v>320.96683332684006</v>
      </c>
      <c r="X194" s="24">
        <f ca="1">X193+T194</f>
        <v>131723.64147252025</v>
      </c>
      <c r="Y194" s="24">
        <f t="shared" ca="1" si="29"/>
        <v>-31888.731119076321</v>
      </c>
      <c r="Z194" s="24"/>
    </row>
    <row r="195" spans="6:26" x14ac:dyDescent="0.25">
      <c r="F195" s="18">
        <f t="shared" si="22"/>
        <v>192</v>
      </c>
      <c r="G195">
        <f t="shared" si="20"/>
        <v>0.76190476190476186</v>
      </c>
      <c r="H195" s="8">
        <v>1.4463608695803151E-2</v>
      </c>
      <c r="I195" s="8">
        <f ca="1">(interestRate-dividend-0.5*sigma^2)*1/252+sigma*SQRT(1/252)*_xlfn.NORM.S.INV(RAND())</f>
        <v>5.3404238334313757E-5</v>
      </c>
      <c r="J195" s="27">
        <f t="shared" ca="1" si="23"/>
        <v>113.74135023813228</v>
      </c>
      <c r="K195" s="20">
        <f t="shared" ca="1" si="24"/>
        <v>113.74135023813228</v>
      </c>
      <c r="L195" s="20">
        <f ca="1">BlackScholes(OptType,"Price",K195,Strike,time-G195,0,sigma,interestRate,dividend)</f>
        <v>5.1085754323244146</v>
      </c>
      <c r="M195" s="21">
        <f ca="1">L195*units*optMult*IF(Side="Short",-1,1)</f>
        <v>-51085.754323244146</v>
      </c>
      <c r="N195" s="6">
        <f ca="1">BlackScholes(OptType,"Delta",K195,Strike,time-G195,0,sigma,interestRate,dividend)*IF(Side="Short",-1,1)*units*optMult</f>
        <v>5255.0448389559979</v>
      </c>
      <c r="O195" s="6">
        <f ca="1">K195*EXP((interestRate-dividend)*(time-G195))</f>
        <v>113.74135023813228</v>
      </c>
      <c r="P195" s="19">
        <f>EXP((interestRate-dividend)*(time-G195))*futMult</f>
        <v>250</v>
      </c>
      <c r="Q195">
        <f t="shared" ca="1" si="21"/>
        <v>-21.020179355823991</v>
      </c>
      <c r="R195" s="32">
        <f t="shared" ca="1" si="25"/>
        <v>-1.2587059541523615E-2</v>
      </c>
      <c r="S195" s="17">
        <f t="shared" ca="1" si="26"/>
        <v>-21.020179355823991</v>
      </c>
      <c r="T195" s="24">
        <f t="shared" ca="1" si="27"/>
        <v>398.65567856894631</v>
      </c>
      <c r="U195" s="24">
        <f t="shared" ca="1" si="28"/>
        <v>31.900596020657211</v>
      </c>
      <c r="V195" s="24">
        <f ca="1">S194*(O195-O194)*futMult</f>
        <v>-31.900596020657215</v>
      </c>
      <c r="W195" s="24">
        <f ca="1">T195+V195</f>
        <v>366.75508254828912</v>
      </c>
      <c r="X195" s="24">
        <f ca="1">X194+T195</f>
        <v>132122.29715108918</v>
      </c>
      <c r="Y195" s="24">
        <f t="shared" ca="1" si="29"/>
        <v>-31920.631715096977</v>
      </c>
      <c r="Z195" s="24"/>
    </row>
    <row r="196" spans="6:26" x14ac:dyDescent="0.25">
      <c r="F196" s="18">
        <f t="shared" si="22"/>
        <v>193</v>
      </c>
      <c r="G196">
        <f t="shared" ref="G196:G255" si="30">F196/252</f>
        <v>0.76587301587301593</v>
      </c>
      <c r="H196" s="8">
        <v>9.5852947205091726E-3</v>
      </c>
      <c r="I196" s="8">
        <f ca="1">(interestRate-dividend-0.5*sigma^2)*1/252+sigma*SQRT(1/252)*_xlfn.NORM.S.INV(RAND())</f>
        <v>2.0699078941813033E-2</v>
      </c>
      <c r="J196" s="27">
        <f t="shared" ca="1" si="23"/>
        <v>116.12022676661971</v>
      </c>
      <c r="K196" s="20">
        <f t="shared" ca="1" si="24"/>
        <v>116.12022676661971</v>
      </c>
      <c r="L196" s="20">
        <f ca="1">BlackScholes(OptType,"Price",K196,Strike,time-G196,0,sigma,interestRate,dividend)</f>
        <v>3.9219117486261421</v>
      </c>
      <c r="M196" s="21">
        <f ca="1">L196*units*optMult*IF(Side="Short",-1,1)</f>
        <v>-39219.117486261421</v>
      </c>
      <c r="N196" s="6">
        <f ca="1">BlackScholes(OptType,"Delta",K196,Strike,time-G196,0,sigma,interestRate,dividend)*IF(Side="Short",-1,1)*units*optMult</f>
        <v>4409.5100644792283</v>
      </c>
      <c r="O196" s="6">
        <f ca="1">K196*EXP((interestRate-dividend)*(time-G196))</f>
        <v>116.12022676661971</v>
      </c>
      <c r="P196" s="19">
        <f>EXP((interestRate-dividend)*(time-G196))*futMult</f>
        <v>250</v>
      </c>
      <c r="Q196">
        <f t="shared" ref="Q196:Q255" ca="1" si="31">-N196/P196</f>
        <v>-17.638040257916913</v>
      </c>
      <c r="R196" s="32">
        <f t="shared" ca="1" si="25"/>
        <v>3.3821390979070785</v>
      </c>
      <c r="S196" s="17">
        <f t="shared" ca="1" si="26"/>
        <v>-17.638040257916913</v>
      </c>
      <c r="T196" s="24">
        <f t="shared" ca="1" si="27"/>
        <v>11866.636836982725</v>
      </c>
      <c r="U196" s="24">
        <f t="shared" ca="1" si="28"/>
        <v>12501.102823541401</v>
      </c>
      <c r="V196" s="24">
        <f ca="1">S195*(O196-O195)*futMult</f>
        <v>-12501.1028235414</v>
      </c>
      <c r="W196" s="24">
        <f ca="1">T196+V196</f>
        <v>-634.46598655867456</v>
      </c>
      <c r="X196" s="24">
        <f ca="1">X195+T196</f>
        <v>143988.93398807192</v>
      </c>
      <c r="Y196" s="24">
        <f t="shared" ca="1" si="29"/>
        <v>-44421.734538638375</v>
      </c>
      <c r="Z196" s="24"/>
    </row>
    <row r="197" spans="6:26" x14ac:dyDescent="0.25">
      <c r="F197" s="18">
        <f>F196+1</f>
        <v>194</v>
      </c>
      <c r="G197">
        <f t="shared" si="30"/>
        <v>0.76984126984126988</v>
      </c>
      <c r="H197" s="8">
        <v>8.376921907650348E-3</v>
      </c>
      <c r="I197" s="8">
        <f ca="1">(interestRate-dividend-0.5*sigma^2)*1/252+sigma*SQRT(1/252)*_xlfn.NORM.S.INV(RAND())</f>
        <v>-3.8682774379091997E-2</v>
      </c>
      <c r="J197" s="27">
        <f t="shared" ref="J197:J255" ca="1" si="32">J196*EXP(I197)</f>
        <v>111.71414340712015</v>
      </c>
      <c r="K197" s="20">
        <f t="shared" ref="K197:K255" ca="1" si="33">IF($C$25="BM Theoretical",J197,K196*EXP(H197))</f>
        <v>111.71414340712015</v>
      </c>
      <c r="L197" s="20">
        <f ca="1">BlackScholes(OptType,"Price",K197,Strike,time-G197,0,sigma,interestRate,dividend)</f>
        <v>6.1766926049206221</v>
      </c>
      <c r="M197" s="21">
        <f ca="1">L197*units*optMult*IF(Side="Short",-1,1)</f>
        <v>-61766.926049206224</v>
      </c>
      <c r="N197" s="6">
        <f ca="1">BlackScholes(OptType,"Delta",K197,Strike,time-G197,0,sigma,interestRate,dividend)*IF(Side="Short",-1,1)*units*optMult</f>
        <v>6003.1021880088192</v>
      </c>
      <c r="O197" s="6">
        <f ca="1">K197*EXP((interestRate-dividend)*(time-G197))</f>
        <v>111.71414340712015</v>
      </c>
      <c r="P197" s="19">
        <f>EXP((interestRate-dividend)*(time-G197))*futMult</f>
        <v>250</v>
      </c>
      <c r="Q197">
        <f t="shared" ca="1" si="31"/>
        <v>-24.012408752035277</v>
      </c>
      <c r="R197" s="32">
        <f t="shared" ref="R197:R255" ca="1" si="34">Q197-Q196</f>
        <v>-6.3743684941183645</v>
      </c>
      <c r="S197" s="17">
        <f t="shared" ref="S197:S255" ca="1" si="35">S196+R197</f>
        <v>-24.012408752035277</v>
      </c>
      <c r="T197" s="24">
        <f t="shared" ref="T197:T255" ca="1" si="36">M197-M196</f>
        <v>-22547.808562944803</v>
      </c>
      <c r="U197" s="24">
        <f t="shared" ref="U197:U255" ca="1" si="37">N196*(K197-K196)</f>
        <v>-19428.668918647767</v>
      </c>
      <c r="V197" s="24">
        <f ca="1">S196*(O197-O196)*futMult</f>
        <v>19428.668918647767</v>
      </c>
      <c r="W197" s="24">
        <f ca="1">T197+V197</f>
        <v>-3119.1396442970363</v>
      </c>
      <c r="X197" s="24">
        <f ca="1">X196+T197</f>
        <v>121441.12542512712</v>
      </c>
      <c r="Y197" s="24">
        <f t="shared" ref="Y197:Y255" ca="1" si="38">Y196+V197</f>
        <v>-24993.065619990608</v>
      </c>
      <c r="Z197" s="24"/>
    </row>
    <row r="198" spans="6:26" x14ac:dyDescent="0.25">
      <c r="F198" s="18">
        <f>F197+1</f>
        <v>195</v>
      </c>
      <c r="G198">
        <f t="shared" si="30"/>
        <v>0.77380952380952384</v>
      </c>
      <c r="H198" s="8">
        <v>1.1173665694743534E-3</v>
      </c>
      <c r="I198" s="8">
        <f ca="1">(interestRate-dividend-0.5*sigma^2)*1/252+sigma*SQRT(1/252)*_xlfn.NORM.S.INV(RAND())</f>
        <v>-1.7619399191261592E-3</v>
      </c>
      <c r="J198" s="27">
        <f t="shared" ca="1" si="32"/>
        <v>111.51748310101861</v>
      </c>
      <c r="K198" s="20">
        <f t="shared" ca="1" si="33"/>
        <v>111.51748310101861</v>
      </c>
      <c r="L198" s="20">
        <f ca="1">BlackScholes(OptType,"Price",K198,Strike,time-G198,0,sigma,interestRate,dividend)</f>
        <v>6.2598495241137346</v>
      </c>
      <c r="M198" s="21">
        <f ca="1">L198*units*optMult*IF(Side="Short",-1,1)</f>
        <v>-62598.495241137345</v>
      </c>
      <c r="N198" s="6">
        <f ca="1">BlackScholes(OptType,"Delta",K198,Strike,time-G198,0,sigma,interestRate,dividend)*IF(Side="Short",-1,1)*units*optMult</f>
        <v>6086.2141268144615</v>
      </c>
      <c r="O198" s="6">
        <f ca="1">K198*EXP((interestRate-dividend)*(time-G198))</f>
        <v>111.51748310101861</v>
      </c>
      <c r="P198" s="19">
        <f>EXP((interestRate-dividend)*(time-G198))*futMult</f>
        <v>250</v>
      </c>
      <c r="Q198">
        <f t="shared" ca="1" si="31"/>
        <v>-24.344856507257845</v>
      </c>
      <c r="R198" s="32">
        <f t="shared" ca="1" si="34"/>
        <v>-0.33244775522256731</v>
      </c>
      <c r="S198" s="17">
        <f t="shared" ca="1" si="35"/>
        <v>-24.344856507257845</v>
      </c>
      <c r="T198" s="24">
        <f t="shared" ca="1" si="36"/>
        <v>-831.56919193112117</v>
      </c>
      <c r="U198" s="24">
        <f t="shared" ca="1" si="37"/>
        <v>-1180.5719138526078</v>
      </c>
      <c r="V198" s="24">
        <f ca="1">S197*(O198-O197)*futMult</f>
        <v>1180.5719138526081</v>
      </c>
      <c r="W198" s="24">
        <f ca="1">T198+V198</f>
        <v>349.00272192148691</v>
      </c>
      <c r="X198" s="24">
        <f ca="1">X197+T198</f>
        <v>120609.556233196</v>
      </c>
      <c r="Y198" s="24">
        <f t="shared" ca="1" si="38"/>
        <v>-23812.493706138001</v>
      </c>
      <c r="Z198" s="24"/>
    </row>
    <row r="199" spans="6:26" x14ac:dyDescent="0.25">
      <c r="F199" s="18">
        <f>F198+1</f>
        <v>196</v>
      </c>
      <c r="G199">
        <f t="shared" si="30"/>
        <v>0.77777777777777779</v>
      </c>
      <c r="H199" s="8">
        <v>-2.1621994596483975E-2</v>
      </c>
      <c r="I199" s="8">
        <f ca="1">(interestRate-dividend-0.5*sigma^2)*1/252+sigma*SQRT(1/252)*_xlfn.NORM.S.INV(RAND())</f>
        <v>2.4323751078753095E-2</v>
      </c>
      <c r="J199" s="27">
        <f t="shared" ca="1" si="32"/>
        <v>114.26326508364481</v>
      </c>
      <c r="K199" s="20">
        <f t="shared" ca="1" si="33"/>
        <v>114.26326508364481</v>
      </c>
      <c r="L199" s="20">
        <f ca="1">BlackScholes(OptType,"Price",K199,Strike,time-G199,0,sigma,interestRate,dividend)</f>
        <v>4.6883721777858423</v>
      </c>
      <c r="M199" s="21">
        <f ca="1">L199*units*optMult*IF(Side="Short",-1,1)</f>
        <v>-46883.721777858424</v>
      </c>
      <c r="N199" s="6">
        <f ca="1">BlackScholes(OptType,"Delta",K199,Strike,time-G199,0,sigma,interestRate,dividend)*IF(Side="Short",-1,1)*units*optMult</f>
        <v>5083.8840889541179</v>
      </c>
      <c r="O199" s="6">
        <f ca="1">K199*EXP((interestRate-dividend)*(time-G199))</f>
        <v>114.26326508364481</v>
      </c>
      <c r="P199" s="19">
        <f>EXP((interestRate-dividend)*(time-G199))*futMult</f>
        <v>250</v>
      </c>
      <c r="Q199">
        <f t="shared" ca="1" si="31"/>
        <v>-20.335536355816473</v>
      </c>
      <c r="R199" s="32">
        <f t="shared" ca="1" si="34"/>
        <v>4.0093201514413721</v>
      </c>
      <c r="S199" s="17">
        <f t="shared" ca="1" si="35"/>
        <v>-20.335536355816473</v>
      </c>
      <c r="T199" s="24">
        <f t="shared" ca="1" si="36"/>
        <v>15714.773463278922</v>
      </c>
      <c r="U199" s="24">
        <f t="shared" ca="1" si="37"/>
        <v>16711.417091812189</v>
      </c>
      <c r="V199" s="24">
        <f ca="1">S198*(O199-O198)*futMult</f>
        <v>-16711.417091812185</v>
      </c>
      <c r="W199" s="24">
        <f ca="1">T199+V199</f>
        <v>-996.64362853326384</v>
      </c>
      <c r="X199" s="24">
        <f ca="1">X198+T199</f>
        <v>136324.32969647492</v>
      </c>
      <c r="Y199" s="24">
        <f t="shared" ca="1" si="38"/>
        <v>-40523.910797950186</v>
      </c>
      <c r="Z199" s="24"/>
    </row>
    <row r="200" spans="6:26" x14ac:dyDescent="0.25">
      <c r="F200" s="18">
        <f>F199+1</f>
        <v>197</v>
      </c>
      <c r="G200">
        <f t="shared" si="30"/>
        <v>0.78174603174603174</v>
      </c>
      <c r="H200" s="8">
        <v>-4.1342364378148897E-3</v>
      </c>
      <c r="I200" s="8">
        <f ca="1">(interestRate-dividend-0.5*sigma^2)*1/252+sigma*SQRT(1/252)*_xlfn.NORM.S.INV(RAND())</f>
        <v>6.3248780440364949E-3</v>
      </c>
      <c r="J200" s="27">
        <f t="shared" ca="1" si="32"/>
        <v>114.98825662486939</v>
      </c>
      <c r="K200" s="20">
        <f t="shared" ca="1" si="33"/>
        <v>114.98825662486939</v>
      </c>
      <c r="L200" s="20">
        <f ca="1">BlackScholes(OptType,"Price",K200,Strike,time-G200,0,sigma,interestRate,dividend)</f>
        <v>4.2907560508615132</v>
      </c>
      <c r="M200" s="21">
        <f ca="1">L200*units*optMult*IF(Side="Short",-1,1)</f>
        <v>-42907.560508615134</v>
      </c>
      <c r="N200" s="6">
        <f ca="1">BlackScholes(OptType,"Delta",K200,Strike,time-G200,0,sigma,interestRate,dividend)*IF(Side="Short",-1,1)*units*optMult</f>
        <v>4818.0469320721495</v>
      </c>
      <c r="O200" s="6">
        <f ca="1">K200*EXP((interestRate-dividend)*(time-G200))</f>
        <v>114.98825662486939</v>
      </c>
      <c r="P200" s="19">
        <f>EXP((interestRate-dividend)*(time-G200))*futMult</f>
        <v>250</v>
      </c>
      <c r="Q200">
        <f t="shared" ca="1" si="31"/>
        <v>-19.272187728288596</v>
      </c>
      <c r="R200" s="32">
        <f t="shared" ca="1" si="34"/>
        <v>1.0633486275278763</v>
      </c>
      <c r="S200" s="17">
        <f t="shared" ca="1" si="35"/>
        <v>-19.272187728288596</v>
      </c>
      <c r="T200" s="24">
        <f t="shared" ca="1" si="36"/>
        <v>3976.16126924329</v>
      </c>
      <c r="U200" s="24">
        <f t="shared" ca="1" si="37"/>
        <v>3685.772961057979</v>
      </c>
      <c r="V200" s="24">
        <f ca="1">S199*(O200-O199)*futMult</f>
        <v>-3685.7729610579795</v>
      </c>
      <c r="W200" s="24">
        <f ca="1">T200+V200</f>
        <v>290.38830818531051</v>
      </c>
      <c r="X200" s="24">
        <f ca="1">X199+T200</f>
        <v>140300.4909657182</v>
      </c>
      <c r="Y200" s="24">
        <f t="shared" ca="1" si="38"/>
        <v>-44209.683759008163</v>
      </c>
      <c r="Z200" s="24"/>
    </row>
    <row r="201" spans="6:26" x14ac:dyDescent="0.25">
      <c r="F201" s="18">
        <f>F200+1</f>
        <v>198</v>
      </c>
      <c r="G201">
        <f t="shared" si="30"/>
        <v>0.7857142857142857</v>
      </c>
      <c r="H201" s="8">
        <v>1.5394338824111384E-2</v>
      </c>
      <c r="I201" s="8">
        <f ca="1">(interestRate-dividend-0.5*sigma^2)*1/252+sigma*SQRT(1/252)*_xlfn.NORM.S.INV(RAND())</f>
        <v>1.3686902395010241E-3</v>
      </c>
      <c r="J201" s="27">
        <f t="shared" ca="1" si="32"/>
        <v>115.1457476830203</v>
      </c>
      <c r="K201" s="20">
        <f t="shared" ca="1" si="33"/>
        <v>115.1457476830203</v>
      </c>
      <c r="L201" s="20">
        <f ca="1">BlackScholes(OptType,"Price",K201,Strike,time-G201,0,sigma,interestRate,dividend)</f>
        <v>4.1762085882450437</v>
      </c>
      <c r="M201" s="21">
        <f ca="1">L201*units*optMult*IF(Side="Short",-1,1)</f>
        <v>-41762.085882450432</v>
      </c>
      <c r="N201" s="6">
        <f ca="1">BlackScholes(OptType,"Delta",K201,Strike,time-G201,0,sigma,interestRate,dividend)*IF(Side="Short",-1,1)*units*optMult</f>
        <v>4760.8916248706573</v>
      </c>
      <c r="O201" s="6">
        <f ca="1">K201*EXP((interestRate-dividend)*(time-G201))</f>
        <v>115.1457476830203</v>
      </c>
      <c r="P201" s="19">
        <f>EXP((interestRate-dividend)*(time-G201))*futMult</f>
        <v>250</v>
      </c>
      <c r="Q201">
        <f t="shared" ca="1" si="31"/>
        <v>-19.04356649948263</v>
      </c>
      <c r="R201" s="32">
        <f t="shared" ca="1" si="34"/>
        <v>0.22862122880596658</v>
      </c>
      <c r="S201" s="17">
        <f t="shared" ca="1" si="35"/>
        <v>-19.04356649948263</v>
      </c>
      <c r="T201" s="24">
        <f t="shared" ca="1" si="36"/>
        <v>1145.4746261647015</v>
      </c>
      <c r="U201" s="24">
        <f t="shared" ca="1" si="37"/>
        <v>758.79930955278905</v>
      </c>
      <c r="V201" s="24">
        <f ca="1">S200*(O201-O200)*futMult</f>
        <v>-758.79930955278894</v>
      </c>
      <c r="W201" s="24">
        <f ca="1">T201+V201</f>
        <v>386.67531661191254</v>
      </c>
      <c r="X201" s="24">
        <f ca="1">X200+T201</f>
        <v>141445.96559188291</v>
      </c>
      <c r="Y201" s="24">
        <f t="shared" ca="1" si="38"/>
        <v>-44968.483068560949</v>
      </c>
      <c r="Z201" s="24"/>
    </row>
    <row r="202" spans="6:26" x14ac:dyDescent="0.25">
      <c r="F202" s="18">
        <f>F201+1</f>
        <v>199</v>
      </c>
      <c r="G202">
        <f t="shared" si="30"/>
        <v>0.78968253968253965</v>
      </c>
      <c r="H202" s="8">
        <v>-1.5835158756310409E-2</v>
      </c>
      <c r="I202" s="8">
        <f ca="1">(interestRate-dividend-0.5*sigma^2)*1/252+sigma*SQRT(1/252)*_xlfn.NORM.S.INV(RAND())</f>
        <v>2.1256427096547005E-3</v>
      </c>
      <c r="J202" s="27">
        <f t="shared" ca="1" si="32"/>
        <v>115.39076672133977</v>
      </c>
      <c r="K202" s="20">
        <f t="shared" ca="1" si="33"/>
        <v>115.39076672133977</v>
      </c>
      <c r="L202" s="20">
        <f ca="1">BlackScholes(OptType,"Price",K202,Strike,time-G202,0,sigma,interestRate,dividend)</f>
        <v>4.0211667354042184</v>
      </c>
      <c r="M202" s="21">
        <f ca="1">L202*units*optMult*IF(Side="Short",-1,1)</f>
        <v>-40211.667354042183</v>
      </c>
      <c r="N202" s="6">
        <f ca="1">BlackScholes(OptType,"Delta",K202,Strike,time-G202,0,sigma,interestRate,dividend)*IF(Side="Short",-1,1)*units*optMult</f>
        <v>4669.8759300645906</v>
      </c>
      <c r="O202" s="6">
        <f ca="1">K202*EXP((interestRate-dividend)*(time-G202))</f>
        <v>115.39076672133977</v>
      </c>
      <c r="P202" s="19">
        <f>EXP((interestRate-dividend)*(time-G202))*futMult</f>
        <v>250</v>
      </c>
      <c r="Q202">
        <f t="shared" ca="1" si="31"/>
        <v>-18.679503720258364</v>
      </c>
      <c r="R202" s="32">
        <f t="shared" ca="1" si="34"/>
        <v>0.36406277922426611</v>
      </c>
      <c r="S202" s="17">
        <f t="shared" ca="1" si="35"/>
        <v>-18.679503720258364</v>
      </c>
      <c r="T202" s="24">
        <f t="shared" ca="1" si="36"/>
        <v>1550.4185284082487</v>
      </c>
      <c r="U202" s="24">
        <f t="shared" ca="1" si="37"/>
        <v>1166.509087469025</v>
      </c>
      <c r="V202" s="24">
        <f ca="1">S201*(O202-O201)*futMult</f>
        <v>-1166.509087469025</v>
      </c>
      <c r="W202" s="24">
        <f ca="1">T202+V202</f>
        <v>383.90944093922371</v>
      </c>
      <c r="X202" s="24">
        <f ca="1">X201+T202</f>
        <v>142996.38412029116</v>
      </c>
      <c r="Y202" s="24">
        <f t="shared" ca="1" si="38"/>
        <v>-46134.99215602997</v>
      </c>
      <c r="Z202" s="24"/>
    </row>
    <row r="203" spans="6:26" x14ac:dyDescent="0.25">
      <c r="F203" s="18">
        <f>F202+1</f>
        <v>200</v>
      </c>
      <c r="G203">
        <f t="shared" si="30"/>
        <v>0.79365079365079361</v>
      </c>
      <c r="H203" s="8">
        <v>8.0801423279601922E-3</v>
      </c>
      <c r="I203" s="8">
        <f ca="1">(interestRate-dividend-0.5*sigma^2)*1/252+sigma*SQRT(1/252)*_xlfn.NORM.S.INV(RAND())</f>
        <v>-1.2494697487692358E-2</v>
      </c>
      <c r="J203" s="27">
        <f t="shared" ca="1" si="32"/>
        <v>113.95796385786716</v>
      </c>
      <c r="K203" s="20">
        <f t="shared" ca="1" si="33"/>
        <v>113.95796385786716</v>
      </c>
      <c r="L203" s="20">
        <f ca="1">BlackScholes(OptType,"Price",K203,Strike,time-G203,0,sigma,interestRate,dividend)</f>
        <v>4.6896051933633265</v>
      </c>
      <c r="M203" s="21">
        <f ca="1">L203*units*optMult*IF(Side="Short",-1,1)</f>
        <v>-46896.051933633265</v>
      </c>
      <c r="N203" s="6">
        <f ca="1">BlackScholes(OptType,"Delta",K203,Strike,time-G203,0,sigma,interestRate,dividend)*IF(Side="Short",-1,1)*units*optMult</f>
        <v>5218.3727881597679</v>
      </c>
      <c r="O203" s="6">
        <f ca="1">K203*EXP((interestRate-dividend)*(time-G203))</f>
        <v>113.95796385786716</v>
      </c>
      <c r="P203" s="19">
        <f>EXP((interestRate-dividend)*(time-G203))*futMult</f>
        <v>250</v>
      </c>
      <c r="Q203">
        <f t="shared" ca="1" si="31"/>
        <v>-20.873491152639073</v>
      </c>
      <c r="R203" s="32">
        <f t="shared" ca="1" si="34"/>
        <v>-2.1939874323807089</v>
      </c>
      <c r="S203" s="17">
        <f t="shared" ca="1" si="35"/>
        <v>-20.873491152639073</v>
      </c>
      <c r="T203" s="24">
        <f t="shared" ca="1" si="36"/>
        <v>-6684.384579591082</v>
      </c>
      <c r="U203" s="24">
        <f t="shared" ca="1" si="37"/>
        <v>-6691.0116046583944</v>
      </c>
      <c r="V203" s="24">
        <f ca="1">S202*(O203-O202)*futMult</f>
        <v>6691.0116046583953</v>
      </c>
      <c r="W203" s="24">
        <f ca="1">T203+V203</f>
        <v>6.6270250673132978</v>
      </c>
      <c r="X203" s="24">
        <f ca="1">X202+T203</f>
        <v>136311.99954070008</v>
      </c>
      <c r="Y203" s="24">
        <f t="shared" ca="1" si="38"/>
        <v>-39443.980551371576</v>
      </c>
      <c r="Z203" s="24"/>
    </row>
    <row r="204" spans="6:26" x14ac:dyDescent="0.25">
      <c r="F204" s="18">
        <f>F203+1</f>
        <v>201</v>
      </c>
      <c r="G204">
        <f t="shared" si="30"/>
        <v>0.79761904761904767</v>
      </c>
      <c r="H204" s="8">
        <v>5.9305947416381189E-3</v>
      </c>
      <c r="I204" s="8">
        <f ca="1">(interestRate-dividend-0.5*sigma^2)*1/252+sigma*SQRT(1/252)*_xlfn.NORM.S.INV(RAND())</f>
        <v>-4.5789480896726473E-4</v>
      </c>
      <c r="J204" s="27">
        <f t="shared" ca="1" si="32"/>
        <v>113.90579504260252</v>
      </c>
      <c r="K204" s="20">
        <f t="shared" ca="1" si="33"/>
        <v>113.90579504260252</v>
      </c>
      <c r="L204" s="20">
        <f ca="1">BlackScholes(OptType,"Price",K204,Strike,time-G204,0,sigma,interestRate,dividend)</f>
        <v>4.677064848669386</v>
      </c>
      <c r="M204" s="21">
        <f ca="1">L204*units*optMult*IF(Side="Short",-1,1)</f>
        <v>-46770.648486693855</v>
      </c>
      <c r="N204" s="6">
        <f ca="1">BlackScholes(OptType,"Delta",K204,Strike,time-G204,0,sigma,interestRate,dividend)*IF(Side="Short",-1,1)*units*optMult</f>
        <v>5244.2827592688027</v>
      </c>
      <c r="O204" s="6">
        <f ca="1">K204*EXP((interestRate-dividend)*(time-G204))</f>
        <v>113.90579504260252</v>
      </c>
      <c r="P204" s="19">
        <f>EXP((interestRate-dividend)*(time-G204))*futMult</f>
        <v>250</v>
      </c>
      <c r="Q204">
        <f t="shared" ca="1" si="31"/>
        <v>-20.97713103707521</v>
      </c>
      <c r="R204" s="32">
        <f t="shared" ca="1" si="34"/>
        <v>-0.10363988443613792</v>
      </c>
      <c r="S204" s="17">
        <f t="shared" ca="1" si="35"/>
        <v>-20.97713103707521</v>
      </c>
      <c r="T204" s="24">
        <f t="shared" ca="1" si="36"/>
        <v>125.40344693941006</v>
      </c>
      <c r="U204" s="24">
        <f t="shared" ca="1" si="37"/>
        <v>-272.23632596751168</v>
      </c>
      <c r="V204" s="24">
        <f ca="1">S203*(O204-O203)*futMult</f>
        <v>272.23632596751168</v>
      </c>
      <c r="W204" s="24">
        <f ca="1">T204+V204</f>
        <v>397.63977290692173</v>
      </c>
      <c r="X204" s="24">
        <f ca="1">X203+T204</f>
        <v>136437.40298763948</v>
      </c>
      <c r="Y204" s="24">
        <f t="shared" ca="1" si="38"/>
        <v>-39171.744225404065</v>
      </c>
      <c r="Z204" s="24"/>
    </row>
    <row r="205" spans="6:26" x14ac:dyDescent="0.25">
      <c r="F205" s="18">
        <f>F204+1</f>
        <v>202</v>
      </c>
      <c r="G205">
        <f t="shared" si="30"/>
        <v>0.80158730158730163</v>
      </c>
      <c r="H205" s="8">
        <v>-2.5249240700738265E-3</v>
      </c>
      <c r="I205" s="8">
        <f ca="1">(interestRate-dividend-0.5*sigma^2)*1/252+sigma*SQRT(1/252)*_xlfn.NORM.S.INV(RAND())</f>
        <v>-1.1926317344178487E-2</v>
      </c>
      <c r="J205" s="27">
        <f t="shared" ca="1" si="32"/>
        <v>112.55538708696024</v>
      </c>
      <c r="K205" s="20">
        <f t="shared" ca="1" si="33"/>
        <v>112.55538708696024</v>
      </c>
      <c r="L205" s="20">
        <f ca="1">BlackScholes(OptType,"Price",K205,Strike,time-G205,0,sigma,interestRate,dividend)</f>
        <v>5.3816237201832138</v>
      </c>
      <c r="M205" s="21">
        <f ca="1">L205*units*optMult*IF(Side="Short",-1,1)</f>
        <v>-53816.237201832133</v>
      </c>
      <c r="N205" s="6">
        <f ca="1">BlackScholes(OptType,"Delta",K205,Strike,time-G205,0,sigma,interestRate,dividend)*IF(Side="Short",-1,1)*units*optMult</f>
        <v>5779.4695124624095</v>
      </c>
      <c r="O205" s="6">
        <f ca="1">K205*EXP((interestRate-dividend)*(time-G205))</f>
        <v>112.55538708696024</v>
      </c>
      <c r="P205" s="19">
        <f>EXP((interestRate-dividend)*(time-G205))*futMult</f>
        <v>250</v>
      </c>
      <c r="Q205">
        <f t="shared" ca="1" si="31"/>
        <v>-23.117878049849637</v>
      </c>
      <c r="R205" s="32">
        <f t="shared" ca="1" si="34"/>
        <v>-2.1407470127744261</v>
      </c>
      <c r="S205" s="17">
        <f t="shared" ca="1" si="35"/>
        <v>-23.117878049849637</v>
      </c>
      <c r="T205" s="24">
        <f t="shared" ca="1" si="36"/>
        <v>-7045.5887151382776</v>
      </c>
      <c r="U205" s="24">
        <f t="shared" ca="1" si="37"/>
        <v>-7081.9211597542517</v>
      </c>
      <c r="V205" s="24">
        <f ca="1">S204*(O205-O204)*futMult</f>
        <v>7081.9211597542508</v>
      </c>
      <c r="W205" s="24">
        <f ca="1">T205+V205</f>
        <v>36.332444615973145</v>
      </c>
      <c r="X205" s="24">
        <f ca="1">X204+T205</f>
        <v>129391.8142725012</v>
      </c>
      <c r="Y205" s="24">
        <f t="shared" ca="1" si="38"/>
        <v>-32089.823065649813</v>
      </c>
      <c r="Z205" s="24"/>
    </row>
    <row r="206" spans="6:26" x14ac:dyDescent="0.25">
      <c r="F206" s="18">
        <f>F205+1</f>
        <v>203</v>
      </c>
      <c r="G206">
        <f t="shared" si="30"/>
        <v>0.80555555555555558</v>
      </c>
      <c r="H206" s="8">
        <v>-1.9987458254845096E-2</v>
      </c>
      <c r="I206" s="8">
        <f ca="1">(interestRate-dividend-0.5*sigma^2)*1/252+sigma*SQRT(1/252)*_xlfn.NORM.S.INV(RAND())</f>
        <v>2.2300427645410028E-3</v>
      </c>
      <c r="J206" s="27">
        <f t="shared" ca="1" si="32"/>
        <v>112.80667049577954</v>
      </c>
      <c r="K206" s="20">
        <f t="shared" ca="1" si="33"/>
        <v>112.80667049577954</v>
      </c>
      <c r="L206" s="20">
        <f ca="1">BlackScholes(OptType,"Price",K206,Strike,time-G206,0,sigma,interestRate,dividend)</f>
        <v>5.1979317010178105</v>
      </c>
      <c r="M206" s="21">
        <f ca="1">L206*units*optMult*IF(Side="Short",-1,1)</f>
        <v>-51979.3170101781</v>
      </c>
      <c r="N206" s="6">
        <f ca="1">BlackScholes(OptType,"Delta",K206,Strike,time-G206,0,sigma,interestRate,dividend)*IF(Side="Short",-1,1)*units*optMult</f>
        <v>5691.6711241452194</v>
      </c>
      <c r="O206" s="6">
        <f ca="1">K206*EXP((interestRate-dividend)*(time-G206))</f>
        <v>112.80667049577954</v>
      </c>
      <c r="P206" s="19">
        <f>EXP((interestRate-dividend)*(time-G206))*futMult</f>
        <v>250</v>
      </c>
      <c r="Q206">
        <f t="shared" ca="1" si="31"/>
        <v>-22.766684496580879</v>
      </c>
      <c r="R206" s="32">
        <f t="shared" ca="1" si="34"/>
        <v>0.35119355326875734</v>
      </c>
      <c r="S206" s="17">
        <f t="shared" ca="1" si="35"/>
        <v>-22.766684496580879</v>
      </c>
      <c r="T206" s="24">
        <f t="shared" ca="1" si="36"/>
        <v>1836.9201916540333</v>
      </c>
      <c r="U206" s="24">
        <f t="shared" ca="1" si="37"/>
        <v>1452.2848002587984</v>
      </c>
      <c r="V206" s="24">
        <f ca="1">S205*(O206-O205)*futMult</f>
        <v>-1452.2848002587982</v>
      </c>
      <c r="W206" s="24">
        <f ca="1">T206+V206</f>
        <v>384.63539139523505</v>
      </c>
      <c r="X206" s="24">
        <f ca="1">X205+T206</f>
        <v>131228.73446415522</v>
      </c>
      <c r="Y206" s="24">
        <f t="shared" ca="1" si="38"/>
        <v>-33542.107865908612</v>
      </c>
      <c r="Z206" s="24"/>
    </row>
    <row r="207" spans="6:26" x14ac:dyDescent="0.25">
      <c r="F207" s="18">
        <f>F206+1</f>
        <v>204</v>
      </c>
      <c r="G207">
        <f t="shared" si="30"/>
        <v>0.80952380952380953</v>
      </c>
      <c r="H207" s="8">
        <v>-3.0521556540415603E-2</v>
      </c>
      <c r="I207" s="8">
        <f ca="1">(interestRate-dividend-0.5*sigma^2)*1/252+sigma*SQRT(1/252)*_xlfn.NORM.S.INV(RAND())</f>
        <v>-2.1990942297156982E-3</v>
      </c>
      <c r="J207" s="27">
        <f t="shared" ca="1" si="32"/>
        <v>112.55887056518127</v>
      </c>
      <c r="K207" s="20">
        <f t="shared" ca="1" si="33"/>
        <v>112.55887056518127</v>
      </c>
      <c r="L207" s="20">
        <f ca="1">BlackScholes(OptType,"Price",K207,Strike,time-G207,0,sigma,interestRate,dividend)</f>
        <v>5.3003740904515837</v>
      </c>
      <c r="M207" s="21">
        <f ca="1">L207*units*optMult*IF(Side="Short",-1,1)</f>
        <v>-53003.740904515835</v>
      </c>
      <c r="N207" s="6">
        <f ca="1">BlackScholes(OptType,"Delta",K207,Strike,time-G207,0,sigma,interestRate,dividend)*IF(Side="Short",-1,1)*units*optMult</f>
        <v>5801.0531774837082</v>
      </c>
      <c r="O207" s="6">
        <f ca="1">K207*EXP((interestRate-dividend)*(time-G207))</f>
        <v>112.55887056518127</v>
      </c>
      <c r="P207" s="19">
        <f>EXP((interestRate-dividend)*(time-G207))*futMult</f>
        <v>250</v>
      </c>
      <c r="Q207">
        <f t="shared" ca="1" si="31"/>
        <v>-23.204212709934833</v>
      </c>
      <c r="R207" s="32">
        <f t="shared" ca="1" si="34"/>
        <v>-0.43752821335395353</v>
      </c>
      <c r="S207" s="17">
        <f t="shared" ca="1" si="35"/>
        <v>-23.204212709934833</v>
      </c>
      <c r="T207" s="24">
        <f t="shared" ca="1" si="36"/>
        <v>-1024.423894337735</v>
      </c>
      <c r="U207" s="24">
        <f t="shared" ca="1" si="37"/>
        <v>-1410.3957095513988</v>
      </c>
      <c r="V207" s="24">
        <f ca="1">S206*(O207-O206)*futMult</f>
        <v>1410.3957095513988</v>
      </c>
      <c r="W207" s="24">
        <f ca="1">T207+V207</f>
        <v>385.97181521366383</v>
      </c>
      <c r="X207" s="24">
        <f ca="1">X206+T207</f>
        <v>130204.31056981749</v>
      </c>
      <c r="Y207" s="24">
        <f t="shared" ca="1" si="38"/>
        <v>-32131.712156357215</v>
      </c>
      <c r="Z207" s="24"/>
    </row>
    <row r="208" spans="6:26" x14ac:dyDescent="0.25">
      <c r="F208" s="18">
        <f>F207+1</f>
        <v>205</v>
      </c>
      <c r="G208">
        <f t="shared" si="30"/>
        <v>0.81349206349206349</v>
      </c>
      <c r="H208" s="8">
        <v>1.130573676154123E-2</v>
      </c>
      <c r="I208" s="8">
        <f ca="1">(interestRate-dividend-0.5*sigma^2)*1/252+sigma*SQRT(1/252)*_xlfn.NORM.S.INV(RAND())</f>
        <v>1.8772947167931965E-3</v>
      </c>
      <c r="J208" s="27">
        <f t="shared" ca="1" si="32"/>
        <v>112.77037520437636</v>
      </c>
      <c r="K208" s="20">
        <f t="shared" ca="1" si="33"/>
        <v>112.77037520437636</v>
      </c>
      <c r="L208" s="20">
        <f ca="1">BlackScholes(OptType,"Price",K208,Strike,time-G208,0,sigma,interestRate,dividend)</f>
        <v>5.1381245794387098</v>
      </c>
      <c r="M208" s="21">
        <f ca="1">L208*units*optMult*IF(Side="Short",-1,1)</f>
        <v>-51381.245794387098</v>
      </c>
      <c r="N208" s="6">
        <f ca="1">BlackScholes(OptType,"Delta",K208,Strike,time-G208,0,sigma,interestRate,dividend)*IF(Side="Short",-1,1)*units*optMult</f>
        <v>5727.9181321533752</v>
      </c>
      <c r="O208" s="6">
        <f ca="1">K208*EXP((interestRate-dividend)*(time-G208))</f>
        <v>112.77037520437636</v>
      </c>
      <c r="P208" s="19">
        <f>EXP((interestRate-dividend)*(time-G208))*futMult</f>
        <v>250</v>
      </c>
      <c r="Q208">
        <f t="shared" ca="1" si="31"/>
        <v>-22.911672528613501</v>
      </c>
      <c r="R208" s="32">
        <f t="shared" ca="1" si="34"/>
        <v>0.29254018132133197</v>
      </c>
      <c r="S208" s="17">
        <f t="shared" ca="1" si="35"/>
        <v>-22.911672528613501</v>
      </c>
      <c r="T208" s="24">
        <f t="shared" ca="1" si="36"/>
        <v>1622.495110128737</v>
      </c>
      <c r="U208" s="24">
        <f t="shared" ca="1" si="37"/>
        <v>1226.9496592552703</v>
      </c>
      <c r="V208" s="24">
        <f ca="1">S207*(O208-O207)*futMult</f>
        <v>-1226.9496592552705</v>
      </c>
      <c r="W208" s="24">
        <f ca="1">T208+V208</f>
        <v>395.54545087346651</v>
      </c>
      <c r="X208" s="24">
        <f ca="1">X207+T208</f>
        <v>131826.80567994624</v>
      </c>
      <c r="Y208" s="24">
        <f t="shared" ca="1" si="38"/>
        <v>-33358.661815612482</v>
      </c>
      <c r="Z208" s="24"/>
    </row>
    <row r="209" spans="6:26" x14ac:dyDescent="0.25">
      <c r="F209" s="18">
        <f>F208+1</f>
        <v>206</v>
      </c>
      <c r="G209">
        <f t="shared" si="30"/>
        <v>0.81746031746031744</v>
      </c>
      <c r="H209" s="8">
        <v>-6.5490501491870939E-3</v>
      </c>
      <c r="I209" s="8">
        <f ca="1">(interestRate-dividend-0.5*sigma^2)*1/252+sigma*SQRT(1/252)*_xlfn.NORM.S.INV(RAND())</f>
        <v>-1.3300297810393904E-2</v>
      </c>
      <c r="J209" s="27">
        <f t="shared" ca="1" si="32"/>
        <v>111.28042597819564</v>
      </c>
      <c r="K209" s="20">
        <f t="shared" ca="1" si="33"/>
        <v>111.28042597819564</v>
      </c>
      <c r="L209" s="20">
        <f ca="1">BlackScholes(OptType,"Price",K209,Strike,time-G209,0,sigma,interestRate,dividend)</f>
        <v>5.9972386657705812</v>
      </c>
      <c r="M209" s="21">
        <f ca="1">L209*units*optMult*IF(Side="Short",-1,1)</f>
        <v>-59972.386657705807</v>
      </c>
      <c r="N209" s="6">
        <f ca="1">BlackScholes(OptType,"Delta",K209,Strike,time-G209,0,sigma,interestRate,dividend)*IF(Side="Short",-1,1)*units*optMult</f>
        <v>6338.4344340881808</v>
      </c>
      <c r="O209" s="6">
        <f ca="1">K209*EXP((interestRate-dividend)*(time-G209))</f>
        <v>111.28042597819564</v>
      </c>
      <c r="P209" s="19">
        <f>EXP((interestRate-dividend)*(time-G209))*futMult</f>
        <v>250</v>
      </c>
      <c r="Q209">
        <f t="shared" ca="1" si="31"/>
        <v>-25.353737736352723</v>
      </c>
      <c r="R209" s="32">
        <f t="shared" ca="1" si="34"/>
        <v>-2.4420652077392226</v>
      </c>
      <c r="S209" s="17">
        <f t="shared" ca="1" si="35"/>
        <v>-25.353737736352723</v>
      </c>
      <c r="T209" s="24">
        <f t="shared" ca="1" si="36"/>
        <v>-8591.1408633187093</v>
      </c>
      <c r="U209" s="24">
        <f t="shared" ca="1" si="37"/>
        <v>-8534.3071886284761</v>
      </c>
      <c r="V209" s="24">
        <f ca="1">S208*(O209-O208)*futMult</f>
        <v>8534.3071886284743</v>
      </c>
      <c r="W209" s="24">
        <f ca="1">T209+V209</f>
        <v>-56.833674690235057</v>
      </c>
      <c r="X209" s="24">
        <f ca="1">X208+T209</f>
        <v>123235.66481662753</v>
      </c>
      <c r="Y209" s="24">
        <f t="shared" ca="1" si="38"/>
        <v>-24824.354626984008</v>
      </c>
      <c r="Z209" s="24"/>
    </row>
    <row r="210" spans="6:26" x14ac:dyDescent="0.25">
      <c r="F210" s="18">
        <f>F209+1</f>
        <v>207</v>
      </c>
      <c r="G210">
        <f t="shared" si="30"/>
        <v>0.8214285714285714</v>
      </c>
      <c r="H210" s="8">
        <v>7.2740819010855941E-3</v>
      </c>
      <c r="I210" s="8">
        <f ca="1">(interestRate-dividend-0.5*sigma^2)*1/252+sigma*SQRT(1/252)*_xlfn.NORM.S.INV(RAND())</f>
        <v>6.6263366412586027E-3</v>
      </c>
      <c r="J210" s="27">
        <f t="shared" ca="1" si="32"/>
        <v>112.02025601669912</v>
      </c>
      <c r="K210" s="20">
        <f t="shared" ca="1" si="33"/>
        <v>112.02025601669912</v>
      </c>
      <c r="L210" s="20">
        <f ca="1">BlackScholes(OptType,"Price",K210,Strike,time-G210,0,sigma,interestRate,dividend)</f>
        <v>5.4989182804490673</v>
      </c>
      <c r="M210" s="21">
        <f ca="1">L210*units*optMult*IF(Side="Short",-1,1)</f>
        <v>-54989.182804490665</v>
      </c>
      <c r="N210" s="6">
        <f ca="1">BlackScholes(OptType,"Delta",K210,Strike,time-G210,0,sigma,interestRate,dividend)*IF(Side="Short",-1,1)*units*optMult</f>
        <v>6057.9083577796555</v>
      </c>
      <c r="O210" s="6">
        <f ca="1">K210*EXP((interestRate-dividend)*(time-G210))</f>
        <v>112.02025601669912</v>
      </c>
      <c r="P210" s="19">
        <f>EXP((interestRate-dividend)*(time-G210))*futMult</f>
        <v>250</v>
      </c>
      <c r="Q210">
        <f t="shared" ca="1" si="31"/>
        <v>-24.23163343111862</v>
      </c>
      <c r="R210" s="32">
        <f t="shared" ca="1" si="34"/>
        <v>1.1221043052341031</v>
      </c>
      <c r="S210" s="17">
        <f t="shared" ca="1" si="35"/>
        <v>-24.23163343111862</v>
      </c>
      <c r="T210" s="24">
        <f t="shared" ca="1" si="36"/>
        <v>4983.2038532151419</v>
      </c>
      <c r="U210" s="24">
        <f t="shared" ca="1" si="37"/>
        <v>4689.3641914232703</v>
      </c>
      <c r="V210" s="24">
        <f ca="1">S209*(O210-O209)*futMult</f>
        <v>-4689.3641914232703</v>
      </c>
      <c r="W210" s="24">
        <f ca="1">T210+V210</f>
        <v>293.83966179187155</v>
      </c>
      <c r="X210" s="24">
        <f ca="1">X209+T210</f>
        <v>128218.86866984266</v>
      </c>
      <c r="Y210" s="24">
        <f t="shared" ca="1" si="38"/>
        <v>-29513.71881840728</v>
      </c>
      <c r="Z210" s="24"/>
    </row>
    <row r="211" spans="6:26" x14ac:dyDescent="0.25">
      <c r="F211" s="18">
        <f>F210+1</f>
        <v>208</v>
      </c>
      <c r="G211">
        <f t="shared" si="30"/>
        <v>0.82539682539682535</v>
      </c>
      <c r="H211" s="8">
        <v>3.6172945936026575E-3</v>
      </c>
      <c r="I211" s="8">
        <f ca="1">(interestRate-dividend-0.5*sigma^2)*1/252+sigma*SQRT(1/252)*_xlfn.NORM.S.INV(RAND())</f>
        <v>1.9453164640513096E-2</v>
      </c>
      <c r="J211" s="27">
        <f t="shared" ca="1" si="32"/>
        <v>114.2207382791342</v>
      </c>
      <c r="K211" s="20">
        <f t="shared" ca="1" si="33"/>
        <v>114.2207382791342</v>
      </c>
      <c r="L211" s="20">
        <f ca="1">BlackScholes(OptType,"Price",K211,Strike,time-G211,0,sigma,interestRate,dividend)</f>
        <v>4.2222620230283159</v>
      </c>
      <c r="M211" s="21">
        <f ca="1">L211*units*optMult*IF(Side="Short",-1,1)</f>
        <v>-42222.620230283159</v>
      </c>
      <c r="N211" s="6">
        <f ca="1">BlackScholes(OptType,"Delta",K211,Strike,time-G211,0,sigma,interestRate,dividend)*IF(Side="Short",-1,1)*units*optMult</f>
        <v>5157.8336291686401</v>
      </c>
      <c r="O211" s="6">
        <f ca="1">K211*EXP((interestRate-dividend)*(time-G211))</f>
        <v>114.2207382791342</v>
      </c>
      <c r="P211" s="19">
        <f>EXP((interestRate-dividend)*(time-G211))*futMult</f>
        <v>250</v>
      </c>
      <c r="Q211">
        <f t="shared" ca="1" si="31"/>
        <v>-20.63133451667456</v>
      </c>
      <c r="R211" s="32">
        <f t="shared" ca="1" si="34"/>
        <v>3.6002989144440605</v>
      </c>
      <c r="S211" s="17">
        <f t="shared" ca="1" si="35"/>
        <v>-20.63133451667456</v>
      </c>
      <c r="T211" s="24">
        <f t="shared" ca="1" si="36"/>
        <v>12766.562574207506</v>
      </c>
      <c r="U211" s="24">
        <f t="shared" ca="1" si="37"/>
        <v>13330.319888751319</v>
      </c>
      <c r="V211" s="24">
        <f ca="1">S210*(O211-O210)*futMult</f>
        <v>-13330.319888751317</v>
      </c>
      <c r="W211" s="24">
        <f ca="1">T211+V211</f>
        <v>-563.75731454381093</v>
      </c>
      <c r="X211" s="24">
        <f ca="1">X210+T211</f>
        <v>140985.43124405015</v>
      </c>
      <c r="Y211" s="24">
        <f t="shared" ca="1" si="38"/>
        <v>-42844.038707158601</v>
      </c>
      <c r="Z211" s="24"/>
    </row>
    <row r="212" spans="6:26" x14ac:dyDescent="0.25">
      <c r="F212" s="18">
        <f>F211+1</f>
        <v>209</v>
      </c>
      <c r="G212">
        <f t="shared" si="30"/>
        <v>0.82936507936507942</v>
      </c>
      <c r="H212" s="8">
        <v>4.7728489001767106E-3</v>
      </c>
      <c r="I212" s="8">
        <f ca="1">(interestRate-dividend-0.5*sigma^2)*1/252+sigma*SQRT(1/252)*_xlfn.NORM.S.INV(RAND())</f>
        <v>-1.463127858221101E-2</v>
      </c>
      <c r="J212" s="27">
        <f t="shared" ca="1" si="32"/>
        <v>112.56170929133987</v>
      </c>
      <c r="K212" s="20">
        <f t="shared" ca="1" si="33"/>
        <v>112.56170929133987</v>
      </c>
      <c r="L212" s="20">
        <f ca="1">BlackScholes(OptType,"Price",K212,Strike,time-G212,0,sigma,interestRate,dividend)</f>
        <v>5.0935350804298682</v>
      </c>
      <c r="M212" s="21">
        <f ca="1">L212*units*optMult*IF(Side="Short",-1,1)</f>
        <v>-50935.350804298687</v>
      </c>
      <c r="N212" s="6">
        <f ca="1">BlackScholes(OptType,"Delta",K212,Strike,time-G212,0,sigma,interestRate,dividend)*IF(Side="Short",-1,1)*units*optMult</f>
        <v>5863.2105719287783</v>
      </c>
      <c r="O212" s="6">
        <f ca="1">K212*EXP((interestRate-dividend)*(time-G212))</f>
        <v>112.56170929133987</v>
      </c>
      <c r="P212" s="19">
        <f>EXP((interestRate-dividend)*(time-G212))*futMult</f>
        <v>250</v>
      </c>
      <c r="Q212">
        <f t="shared" ca="1" si="31"/>
        <v>-23.452842287715114</v>
      </c>
      <c r="R212" s="32">
        <f t="shared" ca="1" si="34"/>
        <v>-2.8215077710405545</v>
      </c>
      <c r="S212" s="17">
        <f t="shared" ca="1" si="35"/>
        <v>-23.452842287715114</v>
      </c>
      <c r="T212" s="24">
        <f t="shared" ca="1" si="36"/>
        <v>-8712.730574015528</v>
      </c>
      <c r="U212" s="24">
        <f t="shared" ca="1" si="37"/>
        <v>-8556.9955050112003</v>
      </c>
      <c r="V212" s="24">
        <f ca="1">S211*(O212-O211)*futMult</f>
        <v>8556.9955050112003</v>
      </c>
      <c r="W212" s="24">
        <f ca="1">T212+V212</f>
        <v>-155.73506900432767</v>
      </c>
      <c r="X212" s="24">
        <f ca="1">X211+T212</f>
        <v>132272.70067003462</v>
      </c>
      <c r="Y212" s="24">
        <f t="shared" ca="1" si="38"/>
        <v>-34287.043202147397</v>
      </c>
      <c r="Z212" s="24"/>
    </row>
    <row r="213" spans="6:26" x14ac:dyDescent="0.25">
      <c r="F213" s="18">
        <f>F212+1</f>
        <v>210</v>
      </c>
      <c r="G213">
        <f t="shared" si="30"/>
        <v>0.83333333333333337</v>
      </c>
      <c r="H213" s="8">
        <v>-4.7728489001765736E-3</v>
      </c>
      <c r="I213" s="8">
        <f ca="1">(interestRate-dividend-0.5*sigma^2)*1/252+sigma*SQRT(1/252)*_xlfn.NORM.S.INV(RAND())</f>
        <v>-7.3747792373630484E-4</v>
      </c>
      <c r="J213" s="27">
        <f t="shared" ca="1" si="32"/>
        <v>112.4787281178322</v>
      </c>
      <c r="K213" s="20">
        <f t="shared" ca="1" si="33"/>
        <v>112.4787281178322</v>
      </c>
      <c r="L213" s="20">
        <f ca="1">BlackScholes(OptType,"Price",K213,Strike,time-G213,0,sigma,interestRate,dividend)</f>
        <v>5.1000931061548345</v>
      </c>
      <c r="M213" s="21">
        <f ca="1">L213*units*optMult*IF(Side="Short",-1,1)</f>
        <v>-51000.931061548348</v>
      </c>
      <c r="N213" s="6">
        <f ca="1">BlackScholes(OptType,"Delta",K213,Strike,time-G213,0,sigma,interestRate,dividend)*IF(Side="Short",-1,1)*units*optMult</f>
        <v>5912.1701660007466</v>
      </c>
      <c r="O213" s="6">
        <f ca="1">K213*EXP((interestRate-dividend)*(time-G213))</f>
        <v>112.4787281178322</v>
      </c>
      <c r="P213" s="19">
        <f>EXP((interestRate-dividend)*(time-G213))*futMult</f>
        <v>250</v>
      </c>
      <c r="Q213">
        <f t="shared" ca="1" si="31"/>
        <v>-23.648680664002985</v>
      </c>
      <c r="R213" s="32">
        <f t="shared" ca="1" si="34"/>
        <v>-0.19583837628787037</v>
      </c>
      <c r="S213" s="17">
        <f t="shared" ca="1" si="35"/>
        <v>-23.648680664002985</v>
      </c>
      <c r="T213" s="24">
        <f t="shared" ca="1" si="36"/>
        <v>-65.580257249661372</v>
      </c>
      <c r="U213" s="24">
        <f t="shared" ca="1" si="37"/>
        <v>-486.53609378117875</v>
      </c>
      <c r="V213" s="24">
        <f ca="1">S212*(O213-O212)*futMult</f>
        <v>486.53609378117875</v>
      </c>
      <c r="W213" s="24">
        <f ca="1">T213+V213</f>
        <v>420.95583653151738</v>
      </c>
      <c r="X213" s="24">
        <f ca="1">X212+T213</f>
        <v>132207.12041278498</v>
      </c>
      <c r="Y213" s="24">
        <f t="shared" ca="1" si="38"/>
        <v>-33800.507108366219</v>
      </c>
      <c r="Z213" s="24"/>
    </row>
    <row r="214" spans="6:26" x14ac:dyDescent="0.25">
      <c r="F214" s="18">
        <f>F213+1</f>
        <v>211</v>
      </c>
      <c r="G214">
        <f t="shared" si="30"/>
        <v>0.83730158730158732</v>
      </c>
      <c r="H214" s="8">
        <v>-1.1621703348402354E-2</v>
      </c>
      <c r="I214" s="8">
        <f ca="1">(interestRate-dividend-0.5*sigma^2)*1/252+sigma*SQRT(1/252)*_xlfn.NORM.S.INV(RAND())</f>
        <v>1.483332253994692E-2</v>
      </c>
      <c r="J214" s="27">
        <f t="shared" ca="1" si="32"/>
        <v>114.15959698626111</v>
      </c>
      <c r="K214" s="20">
        <f t="shared" ca="1" si="33"/>
        <v>114.15959698626111</v>
      </c>
      <c r="L214" s="20">
        <f ca="1">BlackScholes(OptType,"Price",K214,Strike,time-G214,0,sigma,interestRate,dividend)</f>
        <v>4.1219861739968175</v>
      </c>
      <c r="M214" s="21">
        <f ca="1">L214*units*optMult*IF(Side="Short",-1,1)</f>
        <v>-41219.861739968175</v>
      </c>
      <c r="N214" s="6">
        <f ca="1">BlackScholes(OptType,"Delta",K214,Strike,time-G214,0,sigma,interestRate,dividend)*IF(Side="Short",-1,1)*units*optMult</f>
        <v>5201.7157145871197</v>
      </c>
      <c r="O214" s="6">
        <f ca="1">K214*EXP((interestRate-dividend)*(time-G214))</f>
        <v>114.15959698626111</v>
      </c>
      <c r="P214" s="19">
        <f>EXP((interestRate-dividend)*(time-G214))*futMult</f>
        <v>250</v>
      </c>
      <c r="Q214">
        <f t="shared" ca="1" si="31"/>
        <v>-20.806862858348477</v>
      </c>
      <c r="R214" s="32">
        <f t="shared" ca="1" si="34"/>
        <v>2.8418178056545074</v>
      </c>
      <c r="S214" s="17">
        <f t="shared" ca="1" si="35"/>
        <v>-20.806862858348477</v>
      </c>
      <c r="T214" s="24">
        <f t="shared" ca="1" si="36"/>
        <v>9781.069321580173</v>
      </c>
      <c r="U214" s="24">
        <f t="shared" ca="1" si="37"/>
        <v>9937.5827768847903</v>
      </c>
      <c r="V214" s="24">
        <f ca="1">S213*(O214-O213)*futMult</f>
        <v>-9937.5827768847903</v>
      </c>
      <c r="W214" s="24">
        <f ca="1">T214+V214</f>
        <v>-156.51345530461731</v>
      </c>
      <c r="X214" s="24">
        <f ca="1">X213+T214</f>
        <v>141988.18973436515</v>
      </c>
      <c r="Y214" s="24">
        <f t="shared" ca="1" si="38"/>
        <v>-43738.089885251007</v>
      </c>
      <c r="Z214" s="24"/>
    </row>
    <row r="215" spans="6:26" x14ac:dyDescent="0.25">
      <c r="F215" s="18">
        <f>F214+1</f>
        <v>212</v>
      </c>
      <c r="G215">
        <f t="shared" si="30"/>
        <v>0.84126984126984128</v>
      </c>
      <c r="H215" s="8">
        <v>2.3645177040032089E-2</v>
      </c>
      <c r="I215" s="8">
        <f ca="1">(interestRate-dividend-0.5*sigma^2)*1/252+sigma*SQRT(1/252)*_xlfn.NORM.S.INV(RAND())</f>
        <v>1.4502767559558011E-2</v>
      </c>
      <c r="J215" s="27">
        <f t="shared" ca="1" si="32"/>
        <v>115.82729094452378</v>
      </c>
      <c r="K215" s="20">
        <f t="shared" ca="1" si="33"/>
        <v>115.82729094452378</v>
      </c>
      <c r="L215" s="20">
        <f ca="1">BlackScholes(OptType,"Price",K215,Strike,time-G215,0,sigma,interestRate,dividend)</f>
        <v>3.2690319982382032</v>
      </c>
      <c r="M215" s="21">
        <f ca="1">L215*units*optMult*IF(Side="Short",-1,1)</f>
        <v>-32690.319982382032</v>
      </c>
      <c r="N215" s="6">
        <f ca="1">BlackScholes(OptType,"Delta",K215,Strike,time-G215,0,sigma,interestRate,dividend)*IF(Side="Short",-1,1)*units*optMult</f>
        <v>4483.6246196105503</v>
      </c>
      <c r="O215" s="6">
        <f ca="1">K215*EXP((interestRate-dividend)*(time-G215))</f>
        <v>115.82729094452378</v>
      </c>
      <c r="P215" s="19">
        <f>EXP((interestRate-dividend)*(time-G215))*futMult</f>
        <v>250</v>
      </c>
      <c r="Q215">
        <f t="shared" ca="1" si="31"/>
        <v>-17.934498478442201</v>
      </c>
      <c r="R215" s="32">
        <f t="shared" ca="1" si="34"/>
        <v>2.8723643799062764</v>
      </c>
      <c r="S215" s="17">
        <f t="shared" ca="1" si="35"/>
        <v>-17.934498478442201</v>
      </c>
      <c r="T215" s="24">
        <f t="shared" ca="1" si="36"/>
        <v>8529.5417575861429</v>
      </c>
      <c r="U215" s="24">
        <f t="shared" ca="1" si="37"/>
        <v>8674.8698698169501</v>
      </c>
      <c r="V215" s="24">
        <f ca="1">S214*(O215-O214)*futMult</f>
        <v>-8674.8698698169483</v>
      </c>
      <c r="W215" s="24">
        <f ca="1">T215+V215</f>
        <v>-145.32811223080535</v>
      </c>
      <c r="X215" s="24">
        <f ca="1">X214+T215</f>
        <v>150517.7314919513</v>
      </c>
      <c r="Y215" s="24">
        <f t="shared" ca="1" si="38"/>
        <v>-52412.959755067954</v>
      </c>
      <c r="Z215" s="24"/>
    </row>
    <row r="216" spans="6:26" x14ac:dyDescent="0.25">
      <c r="F216" s="18">
        <f>F215+1</f>
        <v>213</v>
      </c>
      <c r="G216">
        <f t="shared" si="30"/>
        <v>0.84523809523809523</v>
      </c>
      <c r="H216" s="8">
        <v>-4.6486763493771115E-3</v>
      </c>
      <c r="I216" s="8">
        <f ca="1">(interestRate-dividend-0.5*sigma^2)*1/252+sigma*SQRT(1/252)*_xlfn.NORM.S.INV(RAND())</f>
        <v>7.6206708414666684E-3</v>
      </c>
      <c r="J216" s="27">
        <f t="shared" ca="1" si="32"/>
        <v>116.71334447632971</v>
      </c>
      <c r="K216" s="20">
        <f t="shared" ca="1" si="33"/>
        <v>116.71334447632971</v>
      </c>
      <c r="L216" s="20">
        <f ca="1">BlackScholes(OptType,"Price",K216,Strike,time-G216,0,sigma,interestRate,dividend)</f>
        <v>2.8429700038910233</v>
      </c>
      <c r="M216" s="21">
        <f ca="1">L216*units*optMult*IF(Side="Short",-1,1)</f>
        <v>-28429.700038910232</v>
      </c>
      <c r="N216" s="6">
        <f ca="1">BlackScholes(OptType,"Delta",K216,Strike,time-G216,0,sigma,interestRate,dividend)*IF(Side="Short",-1,1)*units*optMult</f>
        <v>4100.9463037671148</v>
      </c>
      <c r="O216" s="6">
        <f ca="1">K216*EXP((interestRate-dividend)*(time-G216))</f>
        <v>116.71334447632971</v>
      </c>
      <c r="P216" s="19">
        <f>EXP((interestRate-dividend)*(time-G216))*futMult</f>
        <v>250</v>
      </c>
      <c r="Q216">
        <f t="shared" ca="1" si="31"/>
        <v>-16.40378521506846</v>
      </c>
      <c r="R216" s="32">
        <f t="shared" ca="1" si="34"/>
        <v>1.530713263373741</v>
      </c>
      <c r="S216" s="17">
        <f t="shared" ca="1" si="35"/>
        <v>-16.40378521506846</v>
      </c>
      <c r="T216" s="24">
        <f t="shared" ca="1" si="36"/>
        <v>4260.6199434718001</v>
      </c>
      <c r="U216" s="24">
        <f t="shared" ca="1" si="37"/>
        <v>3972.7314294979374</v>
      </c>
      <c r="V216" s="24">
        <f ca="1">S215*(O216-O215)*futMult</f>
        <v>-3972.7314294979374</v>
      </c>
      <c r="W216" s="24">
        <f ca="1">T216+V216</f>
        <v>287.8885139738627</v>
      </c>
      <c r="X216" s="24">
        <f ca="1">X215+T216</f>
        <v>154778.3514354231</v>
      </c>
      <c r="Y216" s="24">
        <f t="shared" ca="1" si="38"/>
        <v>-56385.691184565891</v>
      </c>
      <c r="Z216" s="24"/>
    </row>
    <row r="217" spans="6:26" x14ac:dyDescent="0.25">
      <c r="F217" s="18">
        <f>F216+1</f>
        <v>214</v>
      </c>
      <c r="G217">
        <f t="shared" si="30"/>
        <v>0.84920634920634919</v>
      </c>
      <c r="H217" s="8">
        <v>1.7010613350238871E-3</v>
      </c>
      <c r="I217" s="8">
        <f ca="1">(interestRate-dividend-0.5*sigma^2)*1/252+sigma*SQRT(1/252)*_xlfn.NORM.S.INV(RAND())</f>
        <v>-7.6529609319166431E-3</v>
      </c>
      <c r="J217" s="27">
        <f t="shared" ca="1" si="32"/>
        <v>115.82355093120563</v>
      </c>
      <c r="K217" s="20">
        <f t="shared" ca="1" si="33"/>
        <v>115.82355093120563</v>
      </c>
      <c r="L217" s="20">
        <f ca="1">BlackScholes(OptType,"Price",K217,Strike,time-G217,0,sigma,interestRate,dividend)</f>
        <v>3.1782675063022565</v>
      </c>
      <c r="M217" s="21">
        <f ca="1">L217*units*optMult*IF(Side="Short",-1,1)</f>
        <v>-31782.675063022565</v>
      </c>
      <c r="N217" s="6">
        <f ca="1">BlackScholes(OptType,"Delta",K217,Strike,time-G217,0,sigma,interestRate,dividend)*IF(Side="Short",-1,1)*units*optMult</f>
        <v>4480.0153437171466</v>
      </c>
      <c r="O217" s="6">
        <f ca="1">K217*EXP((interestRate-dividend)*(time-G217))</f>
        <v>115.82355093120563</v>
      </c>
      <c r="P217" s="19">
        <f>EXP((interestRate-dividend)*(time-G217))*futMult</f>
        <v>250</v>
      </c>
      <c r="Q217">
        <f t="shared" ca="1" si="31"/>
        <v>-17.920061374868588</v>
      </c>
      <c r="R217" s="32">
        <f t="shared" ca="1" si="34"/>
        <v>-1.5162761598001282</v>
      </c>
      <c r="S217" s="17">
        <f t="shared" ca="1" si="35"/>
        <v>-17.920061374868588</v>
      </c>
      <c r="T217" s="24">
        <f t="shared" ca="1" si="36"/>
        <v>-3352.9750241123329</v>
      </c>
      <c r="U217" s="24">
        <f t="shared" ca="1" si="37"/>
        <v>-3648.9955499924267</v>
      </c>
      <c r="V217" s="24">
        <f ca="1">S216*(O217-O216)*futMult</f>
        <v>3648.9955499924267</v>
      </c>
      <c r="W217" s="24">
        <f ca="1">T217+V217</f>
        <v>296.02052588009383</v>
      </c>
      <c r="X217" s="24">
        <f ca="1">X216+T217</f>
        <v>151425.37641131078</v>
      </c>
      <c r="Y217" s="24">
        <f t="shared" ca="1" si="38"/>
        <v>-52736.695634573465</v>
      </c>
      <c r="Z217" s="24"/>
    </row>
    <row r="218" spans="6:26" x14ac:dyDescent="0.25">
      <c r="F218" s="18">
        <f>F217+1</f>
        <v>215</v>
      </c>
      <c r="G218">
        <f t="shared" si="30"/>
        <v>0.85317460317460314</v>
      </c>
      <c r="H218" s="8">
        <v>-1.4234474578783943E-2</v>
      </c>
      <c r="I218" s="8">
        <f ca="1">(interestRate-dividend-0.5*sigma^2)*1/252+sigma*SQRT(1/252)*_xlfn.NORM.S.INV(RAND())</f>
        <v>9.0243115517123686E-3</v>
      </c>
      <c r="J218" s="27">
        <f t="shared" ca="1" si="32"/>
        <v>116.87350918950459</v>
      </c>
      <c r="K218" s="20">
        <f t="shared" ca="1" si="33"/>
        <v>116.87350918950459</v>
      </c>
      <c r="L218" s="20">
        <f ca="1">BlackScholes(OptType,"Price",K218,Strike,time-G218,0,sigma,interestRate,dividend)</f>
        <v>2.6853892609203895</v>
      </c>
      <c r="M218" s="21">
        <f ca="1">L218*units*optMult*IF(Side="Short",-1,1)</f>
        <v>-26853.892609203893</v>
      </c>
      <c r="N218" s="6">
        <f ca="1">BlackScholes(OptType,"Delta",K218,Strike,time-G218,0,sigma,interestRate,dividend)*IF(Side="Short",-1,1)*units*optMult</f>
        <v>4016.0799105093879</v>
      </c>
      <c r="O218" s="6">
        <f ca="1">K218*EXP((interestRate-dividend)*(time-G218))</f>
        <v>116.87350918950459</v>
      </c>
      <c r="P218" s="19">
        <f>EXP((interestRate-dividend)*(time-G218))*futMult</f>
        <v>250</v>
      </c>
      <c r="Q218">
        <f t="shared" ca="1" si="31"/>
        <v>-16.064319642037553</v>
      </c>
      <c r="R218" s="32">
        <f t="shared" ca="1" si="34"/>
        <v>1.8557417328310351</v>
      </c>
      <c r="S218" s="17">
        <f t="shared" ca="1" si="35"/>
        <v>-16.064319642037553</v>
      </c>
      <c r="T218" s="24">
        <f t="shared" ca="1" si="36"/>
        <v>4928.7824538186724</v>
      </c>
      <c r="U218" s="24">
        <f t="shared" ca="1" si="37"/>
        <v>4703.8291074418603</v>
      </c>
      <c r="V218" s="24">
        <f ca="1">S217*(O218-O217)*futMult</f>
        <v>-4703.8291074418612</v>
      </c>
      <c r="W218" s="24">
        <f ca="1">T218+V218</f>
        <v>224.95334637681117</v>
      </c>
      <c r="X218" s="24">
        <f ca="1">X217+T218</f>
        <v>156354.15886512946</v>
      </c>
      <c r="Y218" s="24">
        <f t="shared" ca="1" si="38"/>
        <v>-57440.524742015325</v>
      </c>
      <c r="Z218" s="24"/>
    </row>
    <row r="219" spans="6:26" x14ac:dyDescent="0.25">
      <c r="F219" s="18">
        <f>F218+1</f>
        <v>216</v>
      </c>
      <c r="G219">
        <f t="shared" si="30"/>
        <v>0.8571428571428571</v>
      </c>
      <c r="H219" s="8">
        <v>1.4860452689991421E-2</v>
      </c>
      <c r="I219" s="8">
        <f ca="1">(interestRate-dividend-0.5*sigma^2)*1/252+sigma*SQRT(1/252)*_xlfn.NORM.S.INV(RAND())</f>
        <v>8.4487970409735796E-3</v>
      </c>
      <c r="J219" s="27">
        <f t="shared" ca="1" si="32"/>
        <v>117.86513286301175</v>
      </c>
      <c r="K219" s="20">
        <f t="shared" ca="1" si="33"/>
        <v>117.86513286301175</v>
      </c>
      <c r="L219" s="20">
        <f ca="1">BlackScholes(OptType,"Price",K219,Strike,time-G219,0,sigma,interestRate,dividend)</f>
        <v>2.2621709671851211</v>
      </c>
      <c r="M219" s="21">
        <f ca="1">L219*units*optMult*IF(Side="Short",-1,1)</f>
        <v>-22621.709671851211</v>
      </c>
      <c r="N219" s="6">
        <f ca="1">BlackScholes(OptType,"Delta",K219,Strike,time-G219,0,sigma,interestRate,dividend)*IF(Side="Short",-1,1)*units*optMult</f>
        <v>3581.7485971505048</v>
      </c>
      <c r="O219" s="6">
        <f ca="1">K219*EXP((interestRate-dividend)*(time-G219))</f>
        <v>117.86513286301175</v>
      </c>
      <c r="P219" s="19">
        <f>EXP((interestRate-dividend)*(time-G219))*futMult</f>
        <v>250</v>
      </c>
      <c r="Q219">
        <f t="shared" ca="1" si="31"/>
        <v>-14.326994388602019</v>
      </c>
      <c r="R219" s="32">
        <f t="shared" ca="1" si="34"/>
        <v>1.7373252534355341</v>
      </c>
      <c r="S219" s="17">
        <f t="shared" ca="1" si="35"/>
        <v>-14.326994388602019</v>
      </c>
      <c r="T219" s="24">
        <f t="shared" ca="1" si="36"/>
        <v>4232.1829373526816</v>
      </c>
      <c r="U219" s="24">
        <f t="shared" ca="1" si="37"/>
        <v>3982.4399139576399</v>
      </c>
      <c r="V219" s="24">
        <f ca="1">S218*(O219-O218)*futMult</f>
        <v>-3982.4399139576399</v>
      </c>
      <c r="W219" s="24">
        <f ca="1">T219+V219</f>
        <v>249.74302339504175</v>
      </c>
      <c r="X219" s="24">
        <f ca="1">X218+T219</f>
        <v>160586.34180248214</v>
      </c>
      <c r="Y219" s="24">
        <f t="shared" ca="1" si="38"/>
        <v>-61422.964655972966</v>
      </c>
      <c r="Z219" s="24"/>
    </row>
    <row r="220" spans="6:26" x14ac:dyDescent="0.25">
      <c r="F220" s="18">
        <f>F219+1</f>
        <v>217</v>
      </c>
      <c r="G220">
        <f t="shared" si="30"/>
        <v>0.86111111111111116</v>
      </c>
      <c r="H220" s="8">
        <v>-7.3575926349475351E-3</v>
      </c>
      <c r="I220" s="8">
        <f ca="1">(interestRate-dividend-0.5*sigma^2)*1/252+sigma*SQRT(1/252)*_xlfn.NORM.S.INV(RAND())</f>
        <v>2.1336879541305923E-2</v>
      </c>
      <c r="J220" s="27">
        <f t="shared" ca="1" si="32"/>
        <v>120.40702863187151</v>
      </c>
      <c r="K220" s="20">
        <f t="shared" ca="1" si="33"/>
        <v>120.40702863187151</v>
      </c>
      <c r="L220" s="20">
        <f ca="1">BlackScholes(OptType,"Price",K220,Strike,time-G220,0,sigma,interestRate,dividend)</f>
        <v>1.4397281802385751</v>
      </c>
      <c r="M220" s="21">
        <f ca="1">L220*units*optMult*IF(Side="Short",-1,1)</f>
        <v>-14397.281802385751</v>
      </c>
      <c r="N220" s="6">
        <f ca="1">BlackScholes(OptType,"Delta",K220,Strike,time-G220,0,sigma,interestRate,dividend)*IF(Side="Short",-1,1)*units*optMult</f>
        <v>2566.5412208025509</v>
      </c>
      <c r="O220" s="6">
        <f ca="1">K220*EXP((interestRate-dividend)*(time-G220))</f>
        <v>120.40702863187151</v>
      </c>
      <c r="P220" s="19">
        <f>EXP((interestRate-dividend)*(time-G220))*futMult</f>
        <v>250</v>
      </c>
      <c r="Q220">
        <f t="shared" ca="1" si="31"/>
        <v>-10.266164883210203</v>
      </c>
      <c r="R220" s="32">
        <f t="shared" ca="1" si="34"/>
        <v>4.0608295053918155</v>
      </c>
      <c r="S220" s="17">
        <f t="shared" ca="1" si="35"/>
        <v>-10.266164883210203</v>
      </c>
      <c r="T220" s="24">
        <f t="shared" ca="1" si="36"/>
        <v>8224.4278694654604</v>
      </c>
      <c r="U220" s="24">
        <f t="shared" ca="1" si="37"/>
        <v>9104.43160421625</v>
      </c>
      <c r="V220" s="24">
        <f ca="1">S219*(O220-O219)*futMult</f>
        <v>-9104.4316042162482</v>
      </c>
      <c r="W220" s="24">
        <f ca="1">T220+V220</f>
        <v>-880.00373475078777</v>
      </c>
      <c r="X220" s="24">
        <f ca="1">X219+T220</f>
        <v>168810.76967194761</v>
      </c>
      <c r="Y220" s="24">
        <f t="shared" ca="1" si="38"/>
        <v>-70527.396260189213</v>
      </c>
      <c r="Z220" s="24"/>
    </row>
    <row r="221" spans="6:26" x14ac:dyDescent="0.25">
      <c r="F221" s="18">
        <f>F220+1</f>
        <v>218</v>
      </c>
      <c r="G221">
        <f t="shared" si="30"/>
        <v>0.86507936507936511</v>
      </c>
      <c r="H221" s="8">
        <v>6.1947498007521714E-3</v>
      </c>
      <c r="I221" s="8">
        <f ca="1">(interestRate-dividend-0.5*sigma^2)*1/252+sigma*SQRT(1/252)*_xlfn.NORM.S.INV(RAND())</f>
        <v>9.7390399618951361E-3</v>
      </c>
      <c r="J221" s="27">
        <f t="shared" ca="1" si="32"/>
        <v>121.58540631511322</v>
      </c>
      <c r="K221" s="20">
        <f t="shared" ca="1" si="33"/>
        <v>121.58540631511322</v>
      </c>
      <c r="L221" s="20">
        <f ca="1">BlackScholes(OptType,"Price",K221,Strike,time-G221,0,sigma,interestRate,dividend)</f>
        <v>1.1233183457688458</v>
      </c>
      <c r="M221" s="21">
        <f ca="1">L221*units*optMult*IF(Side="Short",-1,1)</f>
        <v>-11233.183457688458</v>
      </c>
      <c r="N221" s="6">
        <f ca="1">BlackScholes(OptType,"Delta",K221,Strike,time-G221,0,sigma,interestRate,dividend)*IF(Side="Short",-1,1)*units*optMult</f>
        <v>2133.8563582238739</v>
      </c>
      <c r="O221" s="6">
        <f ca="1">K221*EXP((interestRate-dividend)*(time-G221))</f>
        <v>121.58540631511322</v>
      </c>
      <c r="P221" s="19">
        <f>EXP((interestRate-dividend)*(time-G221))*futMult</f>
        <v>250</v>
      </c>
      <c r="Q221">
        <f t="shared" ca="1" si="31"/>
        <v>-8.5354254328954955</v>
      </c>
      <c r="R221" s="32">
        <f t="shared" ca="1" si="34"/>
        <v>1.730739450314708</v>
      </c>
      <c r="S221" s="17">
        <f t="shared" ca="1" si="35"/>
        <v>-8.5354254328954955</v>
      </c>
      <c r="T221" s="24">
        <f t="shared" ca="1" si="36"/>
        <v>3164.0983446972932</v>
      </c>
      <c r="U221" s="24">
        <f t="shared" ca="1" si="37"/>
        <v>3024.3548977136502</v>
      </c>
      <c r="V221" s="24">
        <f ca="1">S220*(O221-O220)*futMult</f>
        <v>-3024.3548977136497</v>
      </c>
      <c r="W221" s="24">
        <f ca="1">T221+V221</f>
        <v>139.74344698364348</v>
      </c>
      <c r="X221" s="24">
        <f ca="1">X220+T221</f>
        <v>171974.8680166449</v>
      </c>
      <c r="Y221" s="24">
        <f t="shared" ca="1" si="38"/>
        <v>-73551.751157902865</v>
      </c>
      <c r="Z221" s="24"/>
    </row>
    <row r="222" spans="6:26" x14ac:dyDescent="0.25">
      <c r="F222" s="18">
        <f>F221+1</f>
        <v>219</v>
      </c>
      <c r="G222">
        <f t="shared" si="30"/>
        <v>0.86904761904761907</v>
      </c>
      <c r="H222" s="8">
        <v>1.8093619992378587E-2</v>
      </c>
      <c r="I222" s="8">
        <f ca="1">(interestRate-dividend-0.5*sigma^2)*1/252+sigma*SQRT(1/252)*_xlfn.NORM.S.INV(RAND())</f>
        <v>-4.1873310281806209E-3</v>
      </c>
      <c r="J222" s="27">
        <f t="shared" ca="1" si="32"/>
        <v>121.07735240796096</v>
      </c>
      <c r="K222" s="20">
        <f t="shared" ca="1" si="33"/>
        <v>121.07735240796096</v>
      </c>
      <c r="L222" s="20">
        <f ca="1">BlackScholes(OptType,"Price",K222,Strike,time-G222,0,sigma,interestRate,dividend)</f>
        <v>1.1961012956216215</v>
      </c>
      <c r="M222" s="21">
        <f ca="1">L222*units*optMult*IF(Side="Short",-1,1)</f>
        <v>-11961.012956216215</v>
      </c>
      <c r="N222" s="6">
        <f ca="1">BlackScholes(OptType,"Delta",K222,Strike,time-G222,0,sigma,interestRate,dividend)*IF(Side="Short",-1,1)*units*optMult</f>
        <v>2273.1229786360159</v>
      </c>
      <c r="O222" s="6">
        <f ca="1">K222*EXP((interestRate-dividend)*(time-G222))</f>
        <v>121.07735240796096</v>
      </c>
      <c r="P222" s="19">
        <f>EXP((interestRate-dividend)*(time-G222))*futMult</f>
        <v>250</v>
      </c>
      <c r="Q222">
        <f t="shared" ca="1" si="31"/>
        <v>-9.0924919145440644</v>
      </c>
      <c r="R222" s="32">
        <f t="shared" ca="1" si="34"/>
        <v>-0.55706648164856887</v>
      </c>
      <c r="S222" s="17">
        <f t="shared" ca="1" si="35"/>
        <v>-9.0924919145440644</v>
      </c>
      <c r="T222" s="24">
        <f t="shared" ca="1" si="36"/>
        <v>-727.8294985277571</v>
      </c>
      <c r="U222" s="24">
        <f t="shared" ca="1" si="37"/>
        <v>-1084.1140600973304</v>
      </c>
      <c r="V222" s="24">
        <f ca="1">S221*(O222-O221)*futMult</f>
        <v>1084.1140600973304</v>
      </c>
      <c r="W222" s="24">
        <f ca="1">T222+V222</f>
        <v>356.28456156957327</v>
      </c>
      <c r="X222" s="24">
        <f ca="1">X221+T222</f>
        <v>171247.03851811716</v>
      </c>
      <c r="Y222" s="24">
        <f t="shared" ca="1" si="38"/>
        <v>-72467.637097805535</v>
      </c>
      <c r="Z222" s="24"/>
    </row>
    <row r="223" spans="6:26" x14ac:dyDescent="0.25">
      <c r="F223" s="18">
        <f>F222+1</f>
        <v>220</v>
      </c>
      <c r="G223">
        <f t="shared" si="30"/>
        <v>0.87301587301587302</v>
      </c>
      <c r="H223" s="8">
        <v>-8.7900496694371974E-5</v>
      </c>
      <c r="I223" s="8">
        <f ca="1">(interestRate-dividend-0.5*sigma^2)*1/252+sigma*SQRT(1/252)*_xlfn.NORM.S.INV(RAND())</f>
        <v>3.0706882167698514E-3</v>
      </c>
      <c r="J223" s="27">
        <f t="shared" ca="1" si="32"/>
        <v>121.449714618857</v>
      </c>
      <c r="K223" s="20">
        <f t="shared" ca="1" si="33"/>
        <v>121.449714618857</v>
      </c>
      <c r="L223" s="20">
        <f ca="1">BlackScholes(OptType,"Price",K223,Strike,time-G223,0,sigma,interestRate,dividend)</f>
        <v>1.0748057769999961</v>
      </c>
      <c r="M223" s="21">
        <f ca="1">L223*units*optMult*IF(Side="Short",-1,1)</f>
        <v>-10748.057769999961</v>
      </c>
      <c r="N223" s="6">
        <f ca="1">BlackScholes(OptType,"Delta",K223,Strike,time-G223,0,sigma,interestRate,dividend)*IF(Side="Short",-1,1)*units*optMult</f>
        <v>2114.8111637158422</v>
      </c>
      <c r="O223" s="6">
        <f ca="1">K223*EXP((interestRate-dividend)*(time-G223))</f>
        <v>121.449714618857</v>
      </c>
      <c r="P223" s="19">
        <f>EXP((interestRate-dividend)*(time-G223))*futMult</f>
        <v>250</v>
      </c>
      <c r="Q223">
        <f t="shared" ca="1" si="31"/>
        <v>-8.4592446548633689</v>
      </c>
      <c r="R223" s="32">
        <f t="shared" ca="1" si="34"/>
        <v>0.63324725968069551</v>
      </c>
      <c r="S223" s="17">
        <f t="shared" ca="1" si="35"/>
        <v>-8.4592446548633689</v>
      </c>
      <c r="T223" s="24">
        <f t="shared" ca="1" si="36"/>
        <v>1212.9551862162534</v>
      </c>
      <c r="U223" s="24">
        <f t="shared" ca="1" si="37"/>
        <v>846.42509796350498</v>
      </c>
      <c r="V223" s="24">
        <f ca="1">S222*(O223-O222)*futMult</f>
        <v>-846.4250979635051</v>
      </c>
      <c r="W223" s="24">
        <f ca="1">T223+V223</f>
        <v>366.53008825274833</v>
      </c>
      <c r="X223" s="24">
        <f ca="1">X222+T223</f>
        <v>172459.99370433341</v>
      </c>
      <c r="Y223" s="24">
        <f t="shared" ca="1" si="38"/>
        <v>-73314.062195769046</v>
      </c>
      <c r="Z223" s="24"/>
    </row>
    <row r="224" spans="6:26" x14ac:dyDescent="0.25">
      <c r="F224" s="18">
        <f>F223+1</f>
        <v>221</v>
      </c>
      <c r="G224">
        <f t="shared" si="30"/>
        <v>0.87698412698412698</v>
      </c>
      <c r="H224" s="8">
        <v>1.5179563906917493E-2</v>
      </c>
      <c r="I224" s="8">
        <f ca="1">(interestRate-dividend-0.5*sigma^2)*1/252+sigma*SQRT(1/252)*_xlfn.NORM.S.INV(RAND())</f>
        <v>-4.9656018964921601E-3</v>
      </c>
      <c r="J224" s="27">
        <f t="shared" ca="1" si="32"/>
        <v>120.84813851543532</v>
      </c>
      <c r="K224" s="20">
        <f t="shared" ca="1" si="33"/>
        <v>120.84813851543532</v>
      </c>
      <c r="L224" s="20">
        <f ca="1">BlackScholes(OptType,"Price",K224,Strike,time-G224,0,sigma,interestRate,dividend)</f>
        <v>1.1669516785136711</v>
      </c>
      <c r="M224" s="21">
        <f ca="1">L224*units*optMult*IF(Side="Short",-1,1)</f>
        <v>-11669.51678513671</v>
      </c>
      <c r="N224" s="6">
        <f ca="1">BlackScholes(OptType,"Delta",K224,Strike,time-G224,0,sigma,interestRate,dividend)*IF(Side="Short",-1,1)*units*optMult</f>
        <v>2289.8475434743</v>
      </c>
      <c r="O224" s="6">
        <f ca="1">K224*EXP((interestRate-dividend)*(time-G224))</f>
        <v>120.84813851543532</v>
      </c>
      <c r="P224" s="19">
        <f>EXP((interestRate-dividend)*(time-G224))*futMult</f>
        <v>250</v>
      </c>
      <c r="Q224">
        <f t="shared" ca="1" si="31"/>
        <v>-9.1593901738972008</v>
      </c>
      <c r="R224" s="32">
        <f t="shared" ca="1" si="34"/>
        <v>-0.70014551903383193</v>
      </c>
      <c r="S224" s="17">
        <f t="shared" ca="1" si="35"/>
        <v>-9.1593901738972008</v>
      </c>
      <c r="T224" s="24">
        <f t="shared" ca="1" si="36"/>
        <v>-921.45901513674835</v>
      </c>
      <c r="U224" s="24">
        <f t="shared" ca="1" si="37"/>
        <v>-1272.2198593408407</v>
      </c>
      <c r="V224" s="24">
        <f ca="1">S223*(O224-O223)*futMult</f>
        <v>1272.2198593408407</v>
      </c>
      <c r="W224" s="24">
        <f ca="1">T224+V224</f>
        <v>350.76084420409234</v>
      </c>
      <c r="X224" s="24">
        <f ca="1">X223+T224</f>
        <v>171538.53468919665</v>
      </c>
      <c r="Y224" s="24">
        <f t="shared" ca="1" si="38"/>
        <v>-72041.842336428206</v>
      </c>
      <c r="Z224" s="24"/>
    </row>
    <row r="225" spans="6:26" x14ac:dyDescent="0.25">
      <c r="F225" s="18">
        <f>F224+1</f>
        <v>222</v>
      </c>
      <c r="G225">
        <f t="shared" si="30"/>
        <v>0.88095238095238093</v>
      </c>
      <c r="H225" s="8">
        <v>3.0525006185727319E-2</v>
      </c>
      <c r="I225" s="8">
        <f ca="1">(interestRate-dividend-0.5*sigma^2)*1/252+sigma*SQRT(1/252)*_xlfn.NORM.S.INV(RAND())</f>
        <v>7.0822566942213387E-4</v>
      </c>
      <c r="J225" s="27">
        <f t="shared" ca="1" si="32"/>
        <v>120.93375658411212</v>
      </c>
      <c r="K225" s="20">
        <f t="shared" ca="1" si="33"/>
        <v>120.93375658411212</v>
      </c>
      <c r="L225" s="20">
        <f ca="1">BlackScholes(OptType,"Price",K225,Strike,time-G225,0,sigma,interestRate,dividend)</f>
        <v>1.1061828901783732</v>
      </c>
      <c r="M225" s="21">
        <f ca="1">L225*units*optMult*IF(Side="Short",-1,1)</f>
        <v>-11061.828901783732</v>
      </c>
      <c r="N225" s="6">
        <f ca="1">BlackScholes(OptType,"Delta",K225,Strike,time-G225,0,sigma,interestRate,dividend)*IF(Side="Short",-1,1)*units*optMult</f>
        <v>2225.5996288671008</v>
      </c>
      <c r="O225" s="6">
        <f ca="1">K225*EXP((interestRate-dividend)*(time-G225))</f>
        <v>120.93375658411212</v>
      </c>
      <c r="P225" s="19">
        <f>EXP((interestRate-dividend)*(time-G225))*futMult</f>
        <v>250</v>
      </c>
      <c r="Q225">
        <f t="shared" ca="1" si="31"/>
        <v>-8.9023985154684038</v>
      </c>
      <c r="R225" s="32">
        <f t="shared" ca="1" si="34"/>
        <v>0.25699165842879701</v>
      </c>
      <c r="S225" s="17">
        <f t="shared" ca="1" si="35"/>
        <v>-8.9023985154684038</v>
      </c>
      <c r="T225" s="24">
        <f t="shared" ca="1" si="36"/>
        <v>607.68788335297722</v>
      </c>
      <c r="U225" s="24">
        <f t="shared" ca="1" si="37"/>
        <v>196.05232423657117</v>
      </c>
      <c r="V225" s="24">
        <f ca="1">S224*(O225-O224)*futMult</f>
        <v>-196.05232423657117</v>
      </c>
      <c r="W225" s="24">
        <f ca="1">T225+V225</f>
        <v>411.63555911640606</v>
      </c>
      <c r="X225" s="24">
        <f ca="1">X224+T225</f>
        <v>172146.22257254962</v>
      </c>
      <c r="Y225" s="24">
        <f t="shared" ca="1" si="38"/>
        <v>-72237.894660664781</v>
      </c>
      <c r="Z225" s="24"/>
    </row>
    <row r="226" spans="6:26" x14ac:dyDescent="0.25">
      <c r="F226" s="18">
        <f>F225+1</f>
        <v>223</v>
      </c>
      <c r="G226">
        <f t="shared" si="30"/>
        <v>0.88492063492063489</v>
      </c>
      <c r="H226" s="8">
        <v>-3.2431584456309004E-2</v>
      </c>
      <c r="I226" s="8">
        <f ca="1">(interestRate-dividend-0.5*sigma^2)*1/252+sigma*SQRT(1/252)*_xlfn.NORM.S.INV(RAND())</f>
        <v>7.2301409319823953E-3</v>
      </c>
      <c r="J226" s="27">
        <f t="shared" ca="1" si="32"/>
        <v>121.81129322166946</v>
      </c>
      <c r="K226" s="20">
        <f t="shared" ca="1" si="33"/>
        <v>121.81129322166946</v>
      </c>
      <c r="L226" s="20">
        <f ca="1">BlackScholes(OptType,"Price",K226,Strike,time-G226,0,sigma,interestRate,dividend)</f>
        <v>0.88579450949123428</v>
      </c>
      <c r="M226" s="21">
        <f ca="1">L226*units*optMult*IF(Side="Short",-1,1)</f>
        <v>-8857.945094912342</v>
      </c>
      <c r="N226" s="6">
        <f ca="1">BlackScholes(OptType,"Delta",K226,Strike,time-G226,0,sigma,interestRate,dividend)*IF(Side="Short",-1,1)*units*optMult</f>
        <v>1888.8146719545639</v>
      </c>
      <c r="O226" s="6">
        <f ca="1">K226*EXP((interestRate-dividend)*(time-G226))</f>
        <v>121.81129322166946</v>
      </c>
      <c r="P226" s="19">
        <f>EXP((interestRate-dividend)*(time-G226))*futMult</f>
        <v>250</v>
      </c>
      <c r="Q226">
        <f t="shared" ca="1" si="31"/>
        <v>-7.5552586878182559</v>
      </c>
      <c r="R226" s="32">
        <f t="shared" ca="1" si="34"/>
        <v>1.3471398276501478</v>
      </c>
      <c r="S226" s="17">
        <f t="shared" ca="1" si="35"/>
        <v>-7.5552586878182559</v>
      </c>
      <c r="T226" s="24">
        <f t="shared" ca="1" si="36"/>
        <v>2203.8838068713903</v>
      </c>
      <c r="U226" s="24">
        <f t="shared" ca="1" si="37"/>
        <v>1953.0452148649022</v>
      </c>
      <c r="V226" s="24">
        <f ca="1">S225*(O226-O225)*futMult</f>
        <v>-1953.0452148649022</v>
      </c>
      <c r="W226" s="24">
        <f ca="1">T226+V226</f>
        <v>250.83859200648817</v>
      </c>
      <c r="X226" s="24">
        <f ca="1">X225+T226</f>
        <v>174350.10637942102</v>
      </c>
      <c r="Y226" s="24">
        <f t="shared" ca="1" si="38"/>
        <v>-74190.939875529686</v>
      </c>
      <c r="Z226" s="24"/>
    </row>
    <row r="227" spans="6:26" x14ac:dyDescent="0.25">
      <c r="F227" s="18">
        <f>F226+1</f>
        <v>224</v>
      </c>
      <c r="G227">
        <f t="shared" si="30"/>
        <v>0.88888888888888884</v>
      </c>
      <c r="H227" s="8">
        <v>-6.3525427917621958E-3</v>
      </c>
      <c r="I227" s="8">
        <f ca="1">(interestRate-dividend-0.5*sigma^2)*1/252+sigma*SQRT(1/252)*_xlfn.NORM.S.INV(RAND())</f>
        <v>-1.4886393958990461E-3</v>
      </c>
      <c r="J227" s="27">
        <f t="shared" ca="1" si="32"/>
        <v>121.63009503455615</v>
      </c>
      <c r="K227" s="20">
        <f t="shared" ca="1" si="33"/>
        <v>121.63009503455615</v>
      </c>
      <c r="L227" s="20">
        <f ca="1">BlackScholes(OptType,"Price",K227,Strike,time-G227,0,sigma,interestRate,dividend)</f>
        <v>0.88124196511997999</v>
      </c>
      <c r="M227" s="21">
        <f ca="1">L227*units*optMult*IF(Side="Short",-1,1)</f>
        <v>-8812.4196511997998</v>
      </c>
      <c r="N227" s="6">
        <f ca="1">BlackScholes(OptType,"Delta",K227,Strike,time-G227,0,sigma,interestRate,dividend)*IF(Side="Short",-1,1)*units*optMult</f>
        <v>1910.2703267110548</v>
      </c>
      <c r="O227" s="6">
        <f ca="1">K227*EXP((interestRate-dividend)*(time-G227))</f>
        <v>121.63009503455615</v>
      </c>
      <c r="P227" s="19">
        <f>EXP((interestRate-dividend)*(time-G227))*futMult</f>
        <v>250</v>
      </c>
      <c r="Q227">
        <f t="shared" ca="1" si="31"/>
        <v>-7.6410813068442192</v>
      </c>
      <c r="R227" s="32">
        <f t="shared" ca="1" si="34"/>
        <v>-8.582261902596322E-2</v>
      </c>
      <c r="S227" s="17">
        <f t="shared" ca="1" si="35"/>
        <v>-7.6410813068442192</v>
      </c>
      <c r="T227" s="24">
        <f t="shared" ca="1" si="36"/>
        <v>45.525443712542256</v>
      </c>
      <c r="U227" s="24">
        <f t="shared" ca="1" si="37"/>
        <v>-342.2497943511882</v>
      </c>
      <c r="V227" s="24">
        <f ca="1">S226*(O227-O226)*futMult</f>
        <v>342.2497943511882</v>
      </c>
      <c r="W227" s="24">
        <f ca="1">T227+V227</f>
        <v>387.77523806373046</v>
      </c>
      <c r="X227" s="24">
        <f ca="1">X226+T227</f>
        <v>174395.63182313356</v>
      </c>
      <c r="Y227" s="24">
        <f t="shared" ca="1" si="38"/>
        <v>-73848.690081178502</v>
      </c>
      <c r="Z227" s="24"/>
    </row>
    <row r="228" spans="6:26" x14ac:dyDescent="0.25">
      <c r="F228" s="18">
        <f>F227+1</f>
        <v>225</v>
      </c>
      <c r="G228">
        <f t="shared" si="30"/>
        <v>0.8928571428571429</v>
      </c>
      <c r="H228" s="8">
        <v>4.0378421691073148E-2</v>
      </c>
      <c r="I228" s="8">
        <f ca="1">(interestRate-dividend-0.5*sigma^2)*1/252+sigma*SQRT(1/252)*_xlfn.NORM.S.INV(RAND())</f>
        <v>1.793604181221416E-2</v>
      </c>
      <c r="J228" s="27">
        <f t="shared" ca="1" si="32"/>
        <v>123.83133929762387</v>
      </c>
      <c r="K228" s="20">
        <f t="shared" ca="1" si="33"/>
        <v>123.83133929762387</v>
      </c>
      <c r="L228" s="20">
        <f ca="1">BlackScholes(OptType,"Price",K228,Strike,time-G228,0,sigma,interestRate,dividend)</f>
        <v>0.50466302672749896</v>
      </c>
      <c r="M228" s="21">
        <f ca="1">L228*units*optMult*IF(Side="Short",-1,1)</f>
        <v>-5046.6302672749898</v>
      </c>
      <c r="N228" s="6">
        <f ca="1">BlackScholes(OptType,"Delta",K228,Strike,time-G228,0,sigma,interestRate,dividend)*IF(Side="Short",-1,1)*units*optMult</f>
        <v>1224.3030887329151</v>
      </c>
      <c r="O228" s="6">
        <f ca="1">K228*EXP((interestRate-dividend)*(time-G228))</f>
        <v>123.83133929762387</v>
      </c>
      <c r="P228" s="19">
        <f>EXP((interestRate-dividend)*(time-G228))*futMult</f>
        <v>250</v>
      </c>
      <c r="Q228">
        <f t="shared" ca="1" si="31"/>
        <v>-4.8972123549316606</v>
      </c>
      <c r="R228" s="32">
        <f t="shared" ca="1" si="34"/>
        <v>2.7438689519125585</v>
      </c>
      <c r="S228" s="17">
        <f t="shared" ca="1" si="35"/>
        <v>-4.8972123549316606</v>
      </c>
      <c r="T228" s="24">
        <f t="shared" ca="1" si="36"/>
        <v>3765.78938392481</v>
      </c>
      <c r="U228" s="24">
        <f t="shared" ca="1" si="37"/>
        <v>4204.9715975812114</v>
      </c>
      <c r="V228" s="24">
        <f ca="1">S227*(O228-O227)*futMult</f>
        <v>-4204.9715975812105</v>
      </c>
      <c r="W228" s="24">
        <f ca="1">T228+V228</f>
        <v>-439.18221365640056</v>
      </c>
      <c r="X228" s="24">
        <f ca="1">X227+T228</f>
        <v>178161.42120705836</v>
      </c>
      <c r="Y228" s="24">
        <f t="shared" ca="1" si="38"/>
        <v>-78053.661678759716</v>
      </c>
      <c r="Z228" s="24"/>
    </row>
    <row r="229" spans="6:26" x14ac:dyDescent="0.25">
      <c r="F229" s="18">
        <f>F228+1</f>
        <v>226</v>
      </c>
      <c r="G229">
        <f t="shared" si="30"/>
        <v>0.89682539682539686</v>
      </c>
      <c r="H229" s="8">
        <v>1.0508854009674704E-2</v>
      </c>
      <c r="I229" s="8">
        <f ca="1">(interestRate-dividend-0.5*sigma^2)*1/252+sigma*SQRT(1/252)*_xlfn.NORM.S.INV(RAND())</f>
        <v>6.8415521368233095E-3</v>
      </c>
      <c r="J229" s="27">
        <f t="shared" ca="1" si="32"/>
        <v>124.68144255860769</v>
      </c>
      <c r="K229" s="20">
        <f t="shared" ca="1" si="33"/>
        <v>124.68144255860769</v>
      </c>
      <c r="L229" s="20">
        <f ca="1">BlackScholes(OptType,"Price",K229,Strike,time-G229,0,sigma,interestRate,dividend)</f>
        <v>0.38237243929158965</v>
      </c>
      <c r="M229" s="21">
        <f ca="1">L229*units*optMult*IF(Side="Short",-1,1)</f>
        <v>-3823.7243929158963</v>
      </c>
      <c r="N229" s="6">
        <f ca="1">BlackScholes(OptType,"Delta",K229,Strike,time-G229,0,sigma,interestRate,dividend)*IF(Side="Short",-1,1)*units*optMult</f>
        <v>984.66660622539143</v>
      </c>
      <c r="O229" s="6">
        <f ca="1">K229*EXP((interestRate-dividend)*(time-G229))</f>
        <v>124.68144255860769</v>
      </c>
      <c r="P229" s="19">
        <f>EXP((interestRate-dividend)*(time-G229))*futMult</f>
        <v>250</v>
      </c>
      <c r="Q229">
        <f t="shared" ca="1" si="31"/>
        <v>-3.9386664249015659</v>
      </c>
      <c r="R229" s="32">
        <f t="shared" ca="1" si="34"/>
        <v>0.95854593003009469</v>
      </c>
      <c r="S229" s="17">
        <f t="shared" ca="1" si="35"/>
        <v>-3.9386664249015659</v>
      </c>
      <c r="T229" s="24">
        <f t="shared" ca="1" si="36"/>
        <v>1222.9058743590936</v>
      </c>
      <c r="U229" s="24">
        <f t="shared" ca="1" si="37"/>
        <v>1040.784048164408</v>
      </c>
      <c r="V229" s="24">
        <f ca="1">S228*(O229-O228)*futMult</f>
        <v>-1040.784048164408</v>
      </c>
      <c r="W229" s="24">
        <f ca="1">T229+V229</f>
        <v>182.12182619468558</v>
      </c>
      <c r="X229" s="24">
        <f ca="1">X228+T229</f>
        <v>179384.32708141746</v>
      </c>
      <c r="Y229" s="24">
        <f t="shared" ca="1" si="38"/>
        <v>-79094.445726924125</v>
      </c>
      <c r="Z229" s="24"/>
    </row>
    <row r="230" spans="6:26" x14ac:dyDescent="0.25">
      <c r="F230" s="18">
        <f>F229+1</f>
        <v>227</v>
      </c>
      <c r="G230">
        <f t="shared" si="30"/>
        <v>0.90079365079365081</v>
      </c>
      <c r="H230" s="8">
        <v>-8.5823132286868865E-3</v>
      </c>
      <c r="I230" s="8">
        <f ca="1">(interestRate-dividend-0.5*sigma^2)*1/252+sigma*SQRT(1/252)*_xlfn.NORM.S.INV(RAND())</f>
        <v>2.2077690914977422E-3</v>
      </c>
      <c r="J230" s="27">
        <f t="shared" ca="1" si="32"/>
        <v>124.95701448142503</v>
      </c>
      <c r="K230" s="20">
        <f t="shared" ca="1" si="33"/>
        <v>124.95701448142503</v>
      </c>
      <c r="L230" s="20">
        <f ca="1">BlackScholes(OptType,"Price",K230,Strike,time-G230,0,sigma,interestRate,dividend)</f>
        <v>0.33060859619749577</v>
      </c>
      <c r="M230" s="21">
        <f ca="1">L230*units*optMult*IF(Side="Short",-1,1)</f>
        <v>-3306.0859619749581</v>
      </c>
      <c r="N230" s="6">
        <f ca="1">BlackScholes(OptType,"Delta",K230,Strike,time-G230,0,sigma,interestRate,dividend)*IF(Side="Short",-1,1)*units*optMult</f>
        <v>885.59467034416764</v>
      </c>
      <c r="O230" s="6">
        <f ca="1">K230*EXP((interestRate-dividend)*(time-G230))</f>
        <v>124.95701448142503</v>
      </c>
      <c r="P230" s="19">
        <f>EXP((interestRate-dividend)*(time-G230))*futMult</f>
        <v>250</v>
      </c>
      <c r="Q230">
        <f t="shared" ca="1" si="31"/>
        <v>-3.5423786813766704</v>
      </c>
      <c r="R230" s="32">
        <f t="shared" ca="1" si="34"/>
        <v>0.39628774352489549</v>
      </c>
      <c r="S230" s="17">
        <f t="shared" ca="1" si="35"/>
        <v>-3.5423786813766704</v>
      </c>
      <c r="T230" s="24">
        <f t="shared" ca="1" si="36"/>
        <v>517.63843094093818</v>
      </c>
      <c r="U230" s="24">
        <f t="shared" ca="1" si="37"/>
        <v>271.34647001156452</v>
      </c>
      <c r="V230" s="24">
        <f ca="1">S229*(O230-O229)*futMult</f>
        <v>-271.34647001156452</v>
      </c>
      <c r="W230" s="24">
        <f ca="1">T230+V230</f>
        <v>246.29196092937366</v>
      </c>
      <c r="X230" s="24">
        <f ca="1">X229+T230</f>
        <v>179901.96551235841</v>
      </c>
      <c r="Y230" s="24">
        <f t="shared" ca="1" si="38"/>
        <v>-79365.792196935683</v>
      </c>
      <c r="Z230" s="24"/>
    </row>
    <row r="231" spans="6:26" x14ac:dyDescent="0.25">
      <c r="F231" s="18">
        <f>F230+1</f>
        <v>228</v>
      </c>
      <c r="G231">
        <f t="shared" si="30"/>
        <v>0.90476190476190477</v>
      </c>
      <c r="H231" s="8">
        <v>1.3960672145277594E-2</v>
      </c>
      <c r="I231" s="8">
        <f ca="1">(interestRate-dividend-0.5*sigma^2)*1/252+sigma*SQRT(1/252)*_xlfn.NORM.S.INV(RAND())</f>
        <v>7.2370247181610912E-3</v>
      </c>
      <c r="J231" s="27">
        <f t="shared" ca="1" si="32"/>
        <v>125.86461167435004</v>
      </c>
      <c r="K231" s="20">
        <f t="shared" ca="1" si="33"/>
        <v>125.86461167435004</v>
      </c>
      <c r="L231" s="20">
        <f ca="1">BlackScholes(OptType,"Price",K231,Strike,time-G231,0,sigma,interestRate,dividend)</f>
        <v>0.23677177503302682</v>
      </c>
      <c r="M231" s="21">
        <f ca="1">L231*units*optMult*IF(Side="Short",-1,1)</f>
        <v>-2367.7177503302682</v>
      </c>
      <c r="N231" s="6">
        <f ca="1">BlackScholes(OptType,"Delta",K231,Strike,time-G231,0,sigma,interestRate,dividend)*IF(Side="Short",-1,1)*units*optMult</f>
        <v>676.56077996298666</v>
      </c>
      <c r="O231" s="6">
        <f ca="1">K231*EXP((interestRate-dividend)*(time-G231))</f>
        <v>125.86461167435004</v>
      </c>
      <c r="P231" s="19">
        <f>EXP((interestRate-dividend)*(time-G231))*futMult</f>
        <v>250</v>
      </c>
      <c r="Q231">
        <f t="shared" ca="1" si="31"/>
        <v>-2.7062431198519468</v>
      </c>
      <c r="R231" s="32">
        <f t="shared" ca="1" si="34"/>
        <v>0.83613556152472368</v>
      </c>
      <c r="S231" s="17">
        <f t="shared" ca="1" si="35"/>
        <v>-2.7062431198519468</v>
      </c>
      <c r="T231" s="24">
        <f t="shared" ca="1" si="36"/>
        <v>938.36821164468984</v>
      </c>
      <c r="U231" s="24">
        <f t="shared" ca="1" si="37"/>
        <v>803.76323687371632</v>
      </c>
      <c r="V231" s="24">
        <f ca="1">S230*(O231-O230)*futMult</f>
        <v>-803.76323687371632</v>
      </c>
      <c r="W231" s="24">
        <f ca="1">T231+V231</f>
        <v>134.60497477097351</v>
      </c>
      <c r="X231" s="24">
        <f ca="1">X230+T231</f>
        <v>180840.33372400311</v>
      </c>
      <c r="Y231" s="24">
        <f t="shared" ca="1" si="38"/>
        <v>-80169.555433809393</v>
      </c>
      <c r="Z231" s="24"/>
    </row>
    <row r="232" spans="6:26" x14ac:dyDescent="0.25">
      <c r="F232" s="18">
        <f>F231+1</f>
        <v>229</v>
      </c>
      <c r="G232">
        <f t="shared" si="30"/>
        <v>0.90873015873015872</v>
      </c>
      <c r="H232" s="8">
        <v>1.1405251836230734E-2</v>
      </c>
      <c r="I232" s="8">
        <f ca="1">(interestRate-dividend-0.5*sigma^2)*1/252+sigma*SQRT(1/252)*_xlfn.NORM.S.INV(RAND())</f>
        <v>-1.8213058540253707E-2</v>
      </c>
      <c r="J232" s="27">
        <f t="shared" ca="1" si="32"/>
        <v>123.59298159382675</v>
      </c>
      <c r="K232" s="20">
        <f t="shared" ca="1" si="33"/>
        <v>123.59298159382675</v>
      </c>
      <c r="L232" s="20">
        <f ca="1">BlackScholes(OptType,"Price",K232,Strike,time-G232,0,sigma,interestRate,dividend)</f>
        <v>0.41014051579714783</v>
      </c>
      <c r="M232" s="21">
        <f ca="1">L232*units*optMult*IF(Side="Short",-1,1)</f>
        <v>-4101.4051579714778</v>
      </c>
      <c r="N232" s="6">
        <f ca="1">BlackScholes(OptType,"Delta",K232,Strike,time-G232,0,sigma,interestRate,dividend)*IF(Side="Short",-1,1)*units*optMult</f>
        <v>1106.9244922501484</v>
      </c>
      <c r="O232" s="6">
        <f ca="1">K232*EXP((interestRate-dividend)*(time-G232))</f>
        <v>123.59298159382675</v>
      </c>
      <c r="P232" s="19">
        <f>EXP((interestRate-dividend)*(time-G232))*futMult</f>
        <v>250</v>
      </c>
      <c r="Q232">
        <f t="shared" ca="1" si="31"/>
        <v>-4.4276979690005938</v>
      </c>
      <c r="R232" s="32">
        <f t="shared" ca="1" si="34"/>
        <v>-1.721454849148647</v>
      </c>
      <c r="S232" s="17">
        <f t="shared" ca="1" si="35"/>
        <v>-4.4276979690005938</v>
      </c>
      <c r="T232" s="24">
        <f t="shared" ca="1" si="36"/>
        <v>-1733.6874076412096</v>
      </c>
      <c r="U232" s="24">
        <f t="shared" ca="1" si="37"/>
        <v>-1536.8958190662224</v>
      </c>
      <c r="V232" s="24">
        <f ca="1">S231*(O232-O231)*futMult</f>
        <v>1536.8958190662224</v>
      </c>
      <c r="W232" s="24">
        <f ca="1">T232+V232</f>
        <v>-196.79158857498714</v>
      </c>
      <c r="X232" s="24">
        <f ca="1">X231+T232</f>
        <v>179106.6463163619</v>
      </c>
      <c r="Y232" s="24">
        <f t="shared" ca="1" si="38"/>
        <v>-78632.65961474317</v>
      </c>
      <c r="Z232" s="24"/>
    </row>
    <row r="233" spans="6:26" x14ac:dyDescent="0.25">
      <c r="F233" s="18">
        <f>F232+1</f>
        <v>230</v>
      </c>
      <c r="G233">
        <f t="shared" si="30"/>
        <v>0.91269841269841268</v>
      </c>
      <c r="H233" s="8">
        <v>-4.6612506198171815E-3</v>
      </c>
      <c r="I233" s="8">
        <f ca="1">(interestRate-dividend-0.5*sigma^2)*1/252+sigma*SQRT(1/252)*_xlfn.NORM.S.INV(RAND())</f>
        <v>2.6310787712495053E-4</v>
      </c>
      <c r="J233" s="27">
        <f t="shared" ca="1" si="32"/>
        <v>123.6255041591254</v>
      </c>
      <c r="K233" s="20">
        <f t="shared" ca="1" si="33"/>
        <v>123.6255041591254</v>
      </c>
      <c r="L233" s="20">
        <f ca="1">BlackScholes(OptType,"Price",K233,Strike,time-G233,0,sigma,interestRate,dividend)</f>
        <v>0.37619735433117507</v>
      </c>
      <c r="M233" s="21">
        <f ca="1">L233*units*optMult*IF(Side="Short",-1,1)</f>
        <v>-3761.9735433117503</v>
      </c>
      <c r="N233" s="6">
        <f ca="1">BlackScholes(OptType,"Delta",K233,Strike,time-G233,0,sigma,interestRate,dividend)*IF(Side="Short",-1,1)*units*optMult</f>
        <v>1050.2162877471981</v>
      </c>
      <c r="O233" s="6">
        <f ca="1">K233*EXP((interestRate-dividend)*(time-G233))</f>
        <v>123.6255041591254</v>
      </c>
      <c r="P233" s="19">
        <f>EXP((interestRate-dividend)*(time-G233))*futMult</f>
        <v>250</v>
      </c>
      <c r="Q233">
        <f t="shared" ca="1" si="31"/>
        <v>-4.2008651509887924</v>
      </c>
      <c r="R233" s="32">
        <f t="shared" ca="1" si="34"/>
        <v>0.22683281801180133</v>
      </c>
      <c r="S233" s="17">
        <f t="shared" ca="1" si="35"/>
        <v>-4.2008651509887924</v>
      </c>
      <c r="T233" s="24">
        <f t="shared" ca="1" si="36"/>
        <v>339.43161465972753</v>
      </c>
      <c r="U233" s="24">
        <f t="shared" ca="1" si="37"/>
        <v>36.000024079879275</v>
      </c>
      <c r="V233" s="24">
        <f ca="1">S232*(O233-O232)*futMult</f>
        <v>-36.000024079879275</v>
      </c>
      <c r="W233" s="24">
        <f ca="1">T233+V233</f>
        <v>303.43159057984826</v>
      </c>
      <c r="X233" s="24">
        <f ca="1">X232+T233</f>
        <v>179446.07793102163</v>
      </c>
      <c r="Y233" s="24">
        <f t="shared" ca="1" si="38"/>
        <v>-78668.659638823054</v>
      </c>
      <c r="Z233" s="24"/>
    </row>
    <row r="234" spans="6:26" x14ac:dyDescent="0.25">
      <c r="F234" s="18">
        <f>F233+1</f>
        <v>231</v>
      </c>
      <c r="G234">
        <f t="shared" si="30"/>
        <v>0.91666666666666663</v>
      </c>
      <c r="H234" s="8">
        <v>-8.8918748219992336E-3</v>
      </c>
      <c r="I234" s="8">
        <f ca="1">(interestRate-dividend-0.5*sigma^2)*1/252+sigma*SQRT(1/252)*_xlfn.NORM.S.INV(RAND())</f>
        <v>-3.851472980768475E-3</v>
      </c>
      <c r="J234" s="27">
        <f t="shared" ca="1" si="32"/>
        <v>123.15027961481917</v>
      </c>
      <c r="K234" s="20">
        <f t="shared" ca="1" si="33"/>
        <v>123.15027961481917</v>
      </c>
      <c r="L234" s="20">
        <f ca="1">BlackScholes(OptType,"Price",K234,Strike,time-G234,0,sigma,interestRate,dividend)</f>
        <v>0.39656343810364214</v>
      </c>
      <c r="M234" s="21">
        <f ca="1">L234*units*optMult*IF(Side="Short",-1,1)</f>
        <v>-3965.6343810364215</v>
      </c>
      <c r="N234" s="6">
        <f ca="1">BlackScholes(OptType,"Delta",K234,Strike,time-G234,0,sigma,interestRate,dividend)*IF(Side="Short",-1,1)*units*optMult</f>
        <v>1122.0988284665946</v>
      </c>
      <c r="O234" s="6">
        <f ca="1">K234*EXP((interestRate-dividend)*(time-G234))</f>
        <v>123.15027961481917</v>
      </c>
      <c r="P234" s="19">
        <f>EXP((interestRate-dividend)*(time-G234))*futMult</f>
        <v>250</v>
      </c>
      <c r="Q234">
        <f t="shared" ca="1" si="31"/>
        <v>-4.4883953138663779</v>
      </c>
      <c r="R234" s="32">
        <f t="shared" ca="1" si="34"/>
        <v>-0.28753016287758548</v>
      </c>
      <c r="S234" s="17">
        <f t="shared" ca="1" si="35"/>
        <v>-4.4883953138663779</v>
      </c>
      <c r="T234" s="24">
        <f t="shared" ca="1" si="36"/>
        <v>-203.66083772467118</v>
      </c>
      <c r="U234" s="24">
        <f t="shared" ca="1" si="37"/>
        <v>-499.08855676764199</v>
      </c>
      <c r="V234" s="24">
        <f ca="1">S233*(O234-O233)*futMult</f>
        <v>499.08855676764205</v>
      </c>
      <c r="W234" s="24">
        <f ca="1">T234+V234</f>
        <v>295.42771904297086</v>
      </c>
      <c r="X234" s="24">
        <f ca="1">X233+T234</f>
        <v>179242.41709329697</v>
      </c>
      <c r="Y234" s="24">
        <f t="shared" ca="1" si="38"/>
        <v>-78169.571082055409</v>
      </c>
      <c r="Z234" s="24"/>
    </row>
    <row r="235" spans="6:26" x14ac:dyDescent="0.25">
      <c r="F235" s="18">
        <f>F234+1</f>
        <v>232</v>
      </c>
      <c r="G235">
        <f t="shared" si="30"/>
        <v>0.92063492063492058</v>
      </c>
      <c r="H235" s="8">
        <v>1.1571205522838241E-3</v>
      </c>
      <c r="I235" s="8">
        <f ca="1">(interestRate-dividend-0.5*sigma^2)*1/252+sigma*SQRT(1/252)*_xlfn.NORM.S.INV(RAND())</f>
        <v>-1.499309509655786E-2</v>
      </c>
      <c r="J235" s="27">
        <f t="shared" ca="1" si="32"/>
        <v>121.31764849777066</v>
      </c>
      <c r="K235" s="20">
        <f t="shared" ca="1" si="33"/>
        <v>121.31764849777066</v>
      </c>
      <c r="L235" s="20">
        <f ca="1">BlackScholes(OptType,"Price",K235,Strike,time-G235,0,sigma,interestRate,dividend)</f>
        <v>0.61009830046462277</v>
      </c>
      <c r="M235" s="21">
        <f ca="1">L235*units*optMult*IF(Side="Short",-1,1)</f>
        <v>-6100.9830046462275</v>
      </c>
      <c r="N235" s="6">
        <f ca="1">BlackScholes(OptType,"Delta",K235,Strike,time-G235,0,sigma,interestRate,dividend)*IF(Side="Short",-1,1)*units*optMult</f>
        <v>1641.977817562386</v>
      </c>
      <c r="O235" s="6">
        <f ca="1">K235*EXP((interestRate-dividend)*(time-G235))</f>
        <v>121.31764849777066</v>
      </c>
      <c r="P235" s="19">
        <f>EXP((interestRate-dividend)*(time-G235))*futMult</f>
        <v>250</v>
      </c>
      <c r="Q235">
        <f t="shared" ca="1" si="31"/>
        <v>-6.5679112702495441</v>
      </c>
      <c r="R235" s="32">
        <f t="shared" ca="1" si="34"/>
        <v>-2.0795159563831662</v>
      </c>
      <c r="S235" s="17">
        <f t="shared" ca="1" si="35"/>
        <v>-6.5679112702495441</v>
      </c>
      <c r="T235" s="24">
        <f t="shared" ca="1" si="36"/>
        <v>-2135.3486236098061</v>
      </c>
      <c r="U235" s="24">
        <f t="shared" ca="1" si="37"/>
        <v>-2056.3932294515562</v>
      </c>
      <c r="V235" s="24">
        <f ca="1">S234*(O235-O234)*futMult</f>
        <v>2056.3932294515557</v>
      </c>
      <c r="W235" s="24">
        <f ca="1">T235+V235</f>
        <v>-78.955394158250328</v>
      </c>
      <c r="X235" s="24">
        <f ca="1">X234+T235</f>
        <v>177107.06846968716</v>
      </c>
      <c r="Y235" s="24">
        <f t="shared" ca="1" si="38"/>
        <v>-76113.177852603854</v>
      </c>
      <c r="Z235" s="24"/>
    </row>
    <row r="236" spans="6:26" x14ac:dyDescent="0.25">
      <c r="F236" s="18">
        <f>F235+1</f>
        <v>233</v>
      </c>
      <c r="G236">
        <f t="shared" si="30"/>
        <v>0.92460317460317465</v>
      </c>
      <c r="H236" s="8">
        <v>-4.0557933343218378E-3</v>
      </c>
      <c r="I236" s="8">
        <f ca="1">(interestRate-dividend-0.5*sigma^2)*1/252+sigma*SQRT(1/252)*_xlfn.NORM.S.INV(RAND())</f>
        <v>-4.619636239350489E-3</v>
      </c>
      <c r="J236" s="27">
        <f t="shared" ca="1" si="32"/>
        <v>120.75849762352325</v>
      </c>
      <c r="K236" s="20">
        <f t="shared" ca="1" si="33"/>
        <v>120.75849762352325</v>
      </c>
      <c r="L236" s="20">
        <f ca="1">BlackScholes(OptType,"Price",K236,Strike,time-G236,0,sigma,interestRate,dividend)</f>
        <v>0.66214220351785669</v>
      </c>
      <c r="M236" s="21">
        <f ca="1">L236*units*optMult*IF(Side="Short",-1,1)</f>
        <v>-6621.4220351785671</v>
      </c>
      <c r="N236" s="6">
        <f ca="1">BlackScholes(OptType,"Delta",K236,Strike,time-G236,0,sigma,interestRate,dividend)*IF(Side="Short",-1,1)*units*optMult</f>
        <v>1795.2544974853413</v>
      </c>
      <c r="O236" s="6">
        <f ca="1">K236*EXP((interestRate-dividend)*(time-G236))</f>
        <v>120.75849762352325</v>
      </c>
      <c r="P236" s="19">
        <f>EXP((interestRate-dividend)*(time-G236))*futMult</f>
        <v>250</v>
      </c>
      <c r="Q236">
        <f t="shared" ca="1" si="31"/>
        <v>-7.1810179899413651</v>
      </c>
      <c r="R236" s="32">
        <f t="shared" ca="1" si="34"/>
        <v>-0.61310671969182096</v>
      </c>
      <c r="S236" s="17">
        <f t="shared" ca="1" si="35"/>
        <v>-7.1810179899413651</v>
      </c>
      <c r="T236" s="24">
        <f t="shared" ca="1" si="36"/>
        <v>-520.43903053233953</v>
      </c>
      <c r="U236" s="24">
        <f t="shared" ca="1" si="37"/>
        <v>-918.11333218485845</v>
      </c>
      <c r="V236" s="24">
        <f ca="1">S235*(O236-O235)*futMult</f>
        <v>918.11333218485845</v>
      </c>
      <c r="W236" s="24">
        <f ca="1">T236+V236</f>
        <v>397.67430165251892</v>
      </c>
      <c r="X236" s="24">
        <f ca="1">X235+T236</f>
        <v>176586.62943915481</v>
      </c>
      <c r="Y236" s="24">
        <f t="shared" ca="1" si="38"/>
        <v>-75195.064520418993</v>
      </c>
      <c r="Z236" s="24"/>
    </row>
    <row r="237" spans="6:26" x14ac:dyDescent="0.25">
      <c r="F237" s="18">
        <f>F236+1</f>
        <v>234</v>
      </c>
      <c r="G237">
        <f t="shared" si="30"/>
        <v>0.9285714285714286</v>
      </c>
      <c r="H237" s="8">
        <v>-3.2024309041595929E-2</v>
      </c>
      <c r="I237" s="8">
        <f ca="1">(interestRate-dividend-0.5*sigma^2)*1/252+sigma*SQRT(1/252)*_xlfn.NORM.S.INV(RAND())</f>
        <v>2.1944250887951502E-2</v>
      </c>
      <c r="J237" s="27">
        <f t="shared" ca="1" si="32"/>
        <v>123.4377418813081</v>
      </c>
      <c r="K237" s="20">
        <f t="shared" ca="1" si="33"/>
        <v>123.4377418813081</v>
      </c>
      <c r="L237" s="20">
        <f ca="1">BlackScholes(OptType,"Price",K237,Strike,time-G237,0,sigma,interestRate,dividend)</f>
        <v>0.27501766645727643</v>
      </c>
      <c r="M237" s="21">
        <f ca="1">L237*units*optMult*IF(Side="Short",-1,1)</f>
        <v>-2750.1766645727644</v>
      </c>
      <c r="N237" s="6">
        <f ca="1">BlackScholes(OptType,"Delta",K237,Strike,time-G237,0,sigma,interestRate,dividend)*IF(Side="Short",-1,1)*units*optMult</f>
        <v>882.89688942314353</v>
      </c>
      <c r="O237" s="6">
        <f ca="1">K237*EXP((interestRate-dividend)*(time-G237))</f>
        <v>123.4377418813081</v>
      </c>
      <c r="P237" s="19">
        <f>EXP((interestRate-dividend)*(time-G237))*futMult</f>
        <v>250</v>
      </c>
      <c r="Q237">
        <f t="shared" ca="1" si="31"/>
        <v>-3.5315875576925739</v>
      </c>
      <c r="R237" s="32">
        <f t="shared" ca="1" si="34"/>
        <v>3.6494304322487912</v>
      </c>
      <c r="S237" s="17">
        <f t="shared" ca="1" si="35"/>
        <v>-3.5315875576925739</v>
      </c>
      <c r="T237" s="24">
        <f t="shared" ca="1" si="36"/>
        <v>3871.2453706058027</v>
      </c>
      <c r="U237" s="24">
        <f t="shared" ca="1" si="37"/>
        <v>4809.9253036500177</v>
      </c>
      <c r="V237" s="24">
        <f ca="1">S236*(O237-O236)*futMult</f>
        <v>-4809.9253036500177</v>
      </c>
      <c r="W237" s="24">
        <f ca="1">T237+V237</f>
        <v>-938.67993304421498</v>
      </c>
      <c r="X237" s="24">
        <f ca="1">X236+T237</f>
        <v>180457.87480976063</v>
      </c>
      <c r="Y237" s="24">
        <f t="shared" ca="1" si="38"/>
        <v>-80004.989824069009</v>
      </c>
      <c r="Z237" s="24"/>
    </row>
    <row r="238" spans="6:26" x14ac:dyDescent="0.25">
      <c r="F238" s="18">
        <f>F237+1</f>
        <v>235</v>
      </c>
      <c r="G238">
        <f t="shared" si="30"/>
        <v>0.93253968253968256</v>
      </c>
      <c r="H238" s="8">
        <v>-5.6681704487087283E-3</v>
      </c>
      <c r="I238" s="8">
        <f ca="1">(interestRate-dividend-0.5*sigma^2)*1/252+sigma*SQRT(1/252)*_xlfn.NORM.S.INV(RAND())</f>
        <v>2.5388131798555827E-2</v>
      </c>
      <c r="J238" s="27">
        <f t="shared" ca="1" si="32"/>
        <v>126.6117156916673</v>
      </c>
      <c r="K238" s="20">
        <f t="shared" ca="1" si="33"/>
        <v>126.6117156916673</v>
      </c>
      <c r="L238" s="20">
        <f ca="1">BlackScholes(OptType,"Price",K238,Strike,time-G238,0,sigma,interestRate,dividend)</f>
        <v>7.844308266977798E-2</v>
      </c>
      <c r="M238" s="21">
        <f ca="1">L238*units*optMult*IF(Side="Short",-1,1)</f>
        <v>-784.43082669777982</v>
      </c>
      <c r="N238" s="6">
        <f ca="1">BlackScholes(OptType,"Delta",K238,Strike,time-G238,0,sigma,interestRate,dividend)*IF(Side="Short",-1,1)*units*optMult</f>
        <v>302.07611592001825</v>
      </c>
      <c r="O238" s="6">
        <f ca="1">K238*EXP((interestRate-dividend)*(time-G238))</f>
        <v>126.6117156916673</v>
      </c>
      <c r="P238" s="19">
        <f>EXP((interestRate-dividend)*(time-G238))*futMult</f>
        <v>250</v>
      </c>
      <c r="Q238">
        <f t="shared" ca="1" si="31"/>
        <v>-1.208304463680073</v>
      </c>
      <c r="R238" s="32">
        <f t="shared" ca="1" si="34"/>
        <v>2.3232830940125009</v>
      </c>
      <c r="S238" s="17">
        <f t="shared" ca="1" si="35"/>
        <v>-1.208304463680073</v>
      </c>
      <c r="T238" s="24">
        <f t="shared" ca="1" si="36"/>
        <v>1965.7458378749845</v>
      </c>
      <c r="U238" s="24">
        <f t="shared" ca="1" si="37"/>
        <v>2802.2916042766606</v>
      </c>
      <c r="V238" s="24">
        <f ca="1">S237*(O238-O237)*futMult</f>
        <v>-2802.2916042766601</v>
      </c>
      <c r="W238" s="24">
        <f ca="1">T238+V238</f>
        <v>-836.54576640167556</v>
      </c>
      <c r="X238" s="24">
        <f ca="1">X237+T238</f>
        <v>182423.6206476356</v>
      </c>
      <c r="Y238" s="24">
        <f t="shared" ca="1" si="38"/>
        <v>-82807.281428345668</v>
      </c>
      <c r="Z238" s="24"/>
    </row>
    <row r="239" spans="6:26" x14ac:dyDescent="0.25">
      <c r="F239" s="18">
        <f>F238+1</f>
        <v>236</v>
      </c>
      <c r="G239">
        <f t="shared" si="30"/>
        <v>0.93650793650793651</v>
      </c>
      <c r="H239" s="8">
        <v>-3.3645375309804674E-3</v>
      </c>
      <c r="I239" s="8">
        <f ca="1">(interestRate-dividend-0.5*sigma^2)*1/252+sigma*SQRT(1/252)*_xlfn.NORM.S.INV(RAND())</f>
        <v>5.5467868836708834E-4</v>
      </c>
      <c r="J239" s="27">
        <f t="shared" ca="1" si="32"/>
        <v>126.68196399287575</v>
      </c>
      <c r="K239" s="20">
        <f t="shared" ca="1" si="33"/>
        <v>126.68196399287575</v>
      </c>
      <c r="L239" s="20">
        <f ca="1">BlackScholes(OptType,"Price",K239,Strike,time-G239,0,sigma,interestRate,dividend)</f>
        <v>6.3847270454065991E-2</v>
      </c>
      <c r="M239" s="21">
        <f ca="1">L239*units*optMult*IF(Side="Short",-1,1)</f>
        <v>-638.47270454065995</v>
      </c>
      <c r="N239" s="6">
        <f ca="1">BlackScholes(OptType,"Delta",K239,Strike,time-G239,0,sigma,interestRate,dividend)*IF(Side="Short",-1,1)*units*optMult</f>
        <v>258.89099625115637</v>
      </c>
      <c r="O239" s="6">
        <f ca="1">K239*EXP((interestRate-dividend)*(time-G239))</f>
        <v>126.68196399287575</v>
      </c>
      <c r="P239" s="19">
        <f>EXP((interestRate-dividend)*(time-G239))*futMult</f>
        <v>250</v>
      </c>
      <c r="Q239">
        <f t="shared" ca="1" si="31"/>
        <v>-1.0355639850046254</v>
      </c>
      <c r="R239" s="32">
        <f t="shared" ca="1" si="34"/>
        <v>0.17274047867544762</v>
      </c>
      <c r="S239" s="17">
        <f t="shared" ca="1" si="35"/>
        <v>-1.0355639850046254</v>
      </c>
      <c r="T239" s="24">
        <f t="shared" ca="1" si="36"/>
        <v>145.95812215711987</v>
      </c>
      <c r="U239" s="24">
        <f t="shared" ca="1" si="37"/>
        <v>21.220333979028517</v>
      </c>
      <c r="V239" s="24">
        <f ca="1">S238*(O239-O238)*futMult</f>
        <v>-21.220333979028521</v>
      </c>
      <c r="W239" s="24">
        <f ca="1">T239+V239</f>
        <v>124.73778817809135</v>
      </c>
      <c r="X239" s="24">
        <f ca="1">X238+T239</f>
        <v>182569.57876979272</v>
      </c>
      <c r="Y239" s="24">
        <f t="shared" ca="1" si="38"/>
        <v>-82828.501762324697</v>
      </c>
      <c r="Z239" s="24"/>
    </row>
    <row r="240" spans="6:26" x14ac:dyDescent="0.25">
      <c r="F240" s="18">
        <f>F239+1</f>
        <v>237</v>
      </c>
      <c r="G240">
        <f t="shared" si="30"/>
        <v>0.94047619047619047</v>
      </c>
      <c r="H240" s="8">
        <v>-2.9643493003647593E-2</v>
      </c>
      <c r="I240" s="8">
        <f ca="1">(interestRate-dividend-0.5*sigma^2)*1/252+sigma*SQRT(1/252)*_xlfn.NORM.S.INV(RAND())</f>
        <v>1.1695549713088558E-2</v>
      </c>
      <c r="J240" s="27">
        <f t="shared" ca="1" si="32"/>
        <v>128.17227722899773</v>
      </c>
      <c r="K240" s="20">
        <f t="shared" ca="1" si="33"/>
        <v>128.17227722899773</v>
      </c>
      <c r="L240" s="20">
        <f ca="1">BlackScholes(OptType,"Price",K240,Strike,time-G240,0,sigma,interestRate,dividend)</f>
        <v>2.7149606223857755E-2</v>
      </c>
      <c r="M240" s="21">
        <f ca="1">L240*units*optMult*IF(Side="Short",-1,1)</f>
        <v>-271.49606223857757</v>
      </c>
      <c r="N240" s="6">
        <f ca="1">BlackScholes(OptType,"Delta",K240,Strike,time-G240,0,sigma,interestRate,dividend)*IF(Side="Short",-1,1)*units*optMult</f>
        <v>123.25745186081983</v>
      </c>
      <c r="O240" s="6">
        <f ca="1">K240*EXP((interestRate-dividend)*(time-G240))</f>
        <v>128.17227722899773</v>
      </c>
      <c r="P240" s="19">
        <f>EXP((interestRate-dividend)*(time-G240))*futMult</f>
        <v>250</v>
      </c>
      <c r="Q240">
        <f t="shared" ca="1" si="31"/>
        <v>-0.49302980744327929</v>
      </c>
      <c r="R240" s="32">
        <f t="shared" ca="1" si="34"/>
        <v>0.54253417756134614</v>
      </c>
      <c r="S240" s="17">
        <f t="shared" ca="1" si="35"/>
        <v>-0.49302980744327929</v>
      </c>
      <c r="T240" s="24">
        <f t="shared" ca="1" si="36"/>
        <v>366.97664230208238</v>
      </c>
      <c r="U240" s="24">
        <f t="shared" ca="1" si="37"/>
        <v>385.8286784259036</v>
      </c>
      <c r="V240" s="24">
        <f ca="1">S239*(O240-O239)*futMult</f>
        <v>-385.82867842590355</v>
      </c>
      <c r="W240" s="24">
        <f ca="1">T240+V240</f>
        <v>-18.852036123821165</v>
      </c>
      <c r="X240" s="24">
        <f ca="1">X239+T240</f>
        <v>182936.55541209481</v>
      </c>
      <c r="Y240" s="24">
        <f t="shared" ca="1" si="38"/>
        <v>-83214.330440750608</v>
      </c>
      <c r="Z240" s="24"/>
    </row>
    <row r="241" spans="6:26" x14ac:dyDescent="0.25">
      <c r="F241" s="18">
        <f>F240+1</f>
        <v>238</v>
      </c>
      <c r="G241">
        <f t="shared" si="30"/>
        <v>0.94444444444444442</v>
      </c>
      <c r="H241" s="8">
        <v>1.6202371966775878E-2</v>
      </c>
      <c r="I241" s="8">
        <f ca="1">(interestRate-dividend-0.5*sigma^2)*1/252+sigma*SQRT(1/252)*_xlfn.NORM.S.INV(RAND())</f>
        <v>-9.9238087765612208E-3</v>
      </c>
      <c r="J241" s="27">
        <f t="shared" ca="1" si="32"/>
        <v>126.90661056339918</v>
      </c>
      <c r="K241" s="20">
        <f t="shared" ca="1" si="33"/>
        <v>126.90661056339918</v>
      </c>
      <c r="L241" s="20">
        <f ca="1">BlackScholes(OptType,"Price",K241,Strike,time-G241,0,sigma,interestRate,dividend)</f>
        <v>3.7867189730394477E-2</v>
      </c>
      <c r="M241" s="21">
        <f ca="1">L241*units*optMult*IF(Side="Short",-1,1)</f>
        <v>-378.67189730394477</v>
      </c>
      <c r="N241" s="6">
        <f ca="1">BlackScholes(OptType,"Delta",K241,Strike,time-G241,0,sigma,interestRate,dividend)*IF(Side="Short",-1,1)*units*optMult</f>
        <v>172.79810676281582</v>
      </c>
      <c r="O241" s="6">
        <f ca="1">K241*EXP((interestRate-dividend)*(time-G241))</f>
        <v>126.90661056339918</v>
      </c>
      <c r="P241" s="19">
        <f>EXP((interestRate-dividend)*(time-G241))*futMult</f>
        <v>250</v>
      </c>
      <c r="Q241">
        <f t="shared" ca="1" si="31"/>
        <v>-0.69119242705126327</v>
      </c>
      <c r="R241" s="32">
        <f t="shared" ca="1" si="34"/>
        <v>-0.19816261960798398</v>
      </c>
      <c r="S241" s="17">
        <f t="shared" ca="1" si="35"/>
        <v>-0.69119242705126327</v>
      </c>
      <c r="T241" s="24">
        <f t="shared" ca="1" si="36"/>
        <v>-107.17583506536721</v>
      </c>
      <c r="U241" s="24">
        <f t="shared" ca="1" si="37"/>
        <v>-156.00284810685696</v>
      </c>
      <c r="V241" s="24">
        <f ca="1">S240*(O241-O240)*futMult</f>
        <v>156.00284810685696</v>
      </c>
      <c r="W241" s="24">
        <f ca="1">T241+V241</f>
        <v>48.827013041489749</v>
      </c>
      <c r="X241" s="24">
        <f ca="1">X240+T241</f>
        <v>182829.37957702944</v>
      </c>
      <c r="Y241" s="24">
        <f t="shared" ca="1" si="38"/>
        <v>-83058.327592643749</v>
      </c>
      <c r="Z241" s="24"/>
    </row>
    <row r="242" spans="6:26" x14ac:dyDescent="0.25">
      <c r="F242" s="18">
        <f>F241+1</f>
        <v>239</v>
      </c>
      <c r="G242">
        <f t="shared" si="30"/>
        <v>0.94841269841269837</v>
      </c>
      <c r="H242" s="8">
        <v>-4.2569129300474911E-3</v>
      </c>
      <c r="I242" s="8">
        <f ca="1">(interestRate-dividend-0.5*sigma^2)*1/252+sigma*SQRT(1/252)*_xlfn.NORM.S.INV(RAND())</f>
        <v>5.4934554757965631E-3</v>
      </c>
      <c r="J242" s="27">
        <f t="shared" ca="1" si="32"/>
        <v>127.60568478661585</v>
      </c>
      <c r="K242" s="20">
        <f t="shared" ca="1" si="33"/>
        <v>127.60568478661585</v>
      </c>
      <c r="L242" s="20">
        <f ca="1">BlackScholes(OptType,"Price",K242,Strike,time-G242,0,sigma,interestRate,dividend)</f>
        <v>2.0758682112908999E-2</v>
      </c>
      <c r="M242" s="21">
        <f ca="1">L242*units*optMult*IF(Side="Short",-1,1)</f>
        <v>-207.58682112908997</v>
      </c>
      <c r="N242" s="6">
        <f ca="1">BlackScholes(OptType,"Delta",K242,Strike,time-G242,0,sigma,interestRate,dividend)*IF(Side="Short",-1,1)*units*optMult</f>
        <v>103.76488746948769</v>
      </c>
      <c r="O242" s="6">
        <f ca="1">K242*EXP((interestRate-dividend)*(time-G242))</f>
        <v>127.60568478661585</v>
      </c>
      <c r="P242" s="19">
        <f>EXP((interestRate-dividend)*(time-G242))*futMult</f>
        <v>250</v>
      </c>
      <c r="Q242">
        <f t="shared" ca="1" si="31"/>
        <v>-0.41505954987795074</v>
      </c>
      <c r="R242" s="32">
        <f t="shared" ca="1" si="34"/>
        <v>0.27613287717331253</v>
      </c>
      <c r="S242" s="17">
        <f t="shared" ca="1" si="35"/>
        <v>-0.41505954987795074</v>
      </c>
      <c r="T242" s="24">
        <f t="shared" ca="1" si="36"/>
        <v>171.08507617485481</v>
      </c>
      <c r="U242" s="24">
        <f t="shared" ca="1" si="37"/>
        <v>120.7987022585266</v>
      </c>
      <c r="V242" s="24">
        <f ca="1">S241*(O242-O241)*futMult</f>
        <v>-120.7987022585266</v>
      </c>
      <c r="W242" s="24">
        <f ca="1">T242+V242</f>
        <v>50.286373916328202</v>
      </c>
      <c r="X242" s="24">
        <f ca="1">X241+T242</f>
        <v>183000.46465320428</v>
      </c>
      <c r="Y242" s="24">
        <f t="shared" ca="1" si="38"/>
        <v>-83179.126294902278</v>
      </c>
      <c r="Z242" s="24"/>
    </row>
    <row r="243" spans="6:26" x14ac:dyDescent="0.25">
      <c r="F243" s="18">
        <f>F242+1</f>
        <v>240</v>
      </c>
      <c r="G243">
        <f t="shared" si="30"/>
        <v>0.95238095238095233</v>
      </c>
      <c r="H243" s="8">
        <v>3.1174054392398474E-2</v>
      </c>
      <c r="I243" s="8">
        <f ca="1">(interestRate-dividend-0.5*sigma^2)*1/252+sigma*SQRT(1/252)*_xlfn.NORM.S.INV(RAND())</f>
        <v>1.5640790595624208E-2</v>
      </c>
      <c r="J243" s="27">
        <f t="shared" ca="1" si="32"/>
        <v>129.6172286417239</v>
      </c>
      <c r="K243" s="20">
        <f t="shared" ca="1" si="33"/>
        <v>129.6172286417239</v>
      </c>
      <c r="L243" s="20">
        <f ca="1">BlackScholes(OptType,"Price",K243,Strike,time-G243,0,sigma,interestRate,dividend)</f>
        <v>4.9253785890830664E-3</v>
      </c>
      <c r="M243" s="21">
        <f ca="1">L243*units*optMult*IF(Side="Short",-1,1)</f>
        <v>-49.253785890830663</v>
      </c>
      <c r="N243" s="6">
        <f ca="1">BlackScholes(OptType,"Delta",K243,Strike,time-G243,0,sigma,interestRate,dividend)*IF(Side="Short",-1,1)*units*optMult</f>
        <v>28.598696102715888</v>
      </c>
      <c r="O243" s="6">
        <f ca="1">K243*EXP((interestRate-dividend)*(time-G243))</f>
        <v>129.6172286417239</v>
      </c>
      <c r="P243" s="19">
        <f>EXP((interestRate-dividend)*(time-G243))*futMult</f>
        <v>250</v>
      </c>
      <c r="Q243">
        <f t="shared" ca="1" si="31"/>
        <v>-0.11439478441086355</v>
      </c>
      <c r="R243" s="32">
        <f t="shared" ca="1" si="34"/>
        <v>0.3006647654670872</v>
      </c>
      <c r="S243" s="17">
        <f t="shared" ca="1" si="35"/>
        <v>-0.11439478441086354</v>
      </c>
      <c r="T243" s="24">
        <f t="shared" ca="1" si="36"/>
        <v>158.3330352382593</v>
      </c>
      <c r="U243" s="24">
        <f t="shared" ca="1" si="37"/>
        <v>208.72762176522568</v>
      </c>
      <c r="V243" s="24">
        <f ca="1">S242*(O243-O242)*futMult</f>
        <v>-208.72762176522565</v>
      </c>
      <c r="W243" s="24">
        <f ca="1">T243+V243</f>
        <v>-50.39458652696635</v>
      </c>
      <c r="X243" s="24">
        <f ca="1">X242+T243</f>
        <v>183158.79768844254</v>
      </c>
      <c r="Y243" s="24">
        <f t="shared" ca="1" si="38"/>
        <v>-83387.853916667504</v>
      </c>
      <c r="Z243" s="24"/>
    </row>
    <row r="244" spans="6:26" x14ac:dyDescent="0.25">
      <c r="F244" s="18">
        <f>F243+1</f>
        <v>241</v>
      </c>
      <c r="G244">
        <f t="shared" si="30"/>
        <v>0.95634920634920639</v>
      </c>
      <c r="H244" s="8">
        <v>1.2623542054300465E-2</v>
      </c>
      <c r="I244" s="8">
        <f ca="1">(interestRate-dividend-0.5*sigma^2)*1/252+sigma*SQRT(1/252)*_xlfn.NORM.S.INV(RAND())</f>
        <v>-1.7283681994479022E-2</v>
      </c>
      <c r="J244" s="27">
        <f t="shared" ca="1" si="32"/>
        <v>127.39621462011733</v>
      </c>
      <c r="K244" s="20">
        <f t="shared" ca="1" si="33"/>
        <v>127.39621462011733</v>
      </c>
      <c r="L244" s="20">
        <f ca="1">BlackScholes(OptType,"Price",K244,Strike,time-G244,0,sigma,interestRate,dividend)</f>
        <v>1.1824129426211303E-2</v>
      </c>
      <c r="M244" s="21">
        <f ca="1">L244*units*optMult*IF(Side="Short",-1,1)</f>
        <v>-118.24129426211303</v>
      </c>
      <c r="N244" s="6">
        <f ca="1">BlackScholes(OptType,"Delta",K244,Strike,time-G244,0,sigma,interestRate,dividend)*IF(Side="Short",-1,1)*units*optMult</f>
        <v>67.409231956873512</v>
      </c>
      <c r="O244" s="6">
        <f ca="1">K244*EXP((interestRate-dividend)*(time-G244))</f>
        <v>127.39621462011733</v>
      </c>
      <c r="P244" s="19">
        <f>EXP((interestRate-dividend)*(time-G244))*futMult</f>
        <v>250</v>
      </c>
      <c r="Q244">
        <f t="shared" ca="1" si="31"/>
        <v>-0.26963692782749404</v>
      </c>
      <c r="R244" s="32">
        <f t="shared" ca="1" si="34"/>
        <v>-0.15524214341663051</v>
      </c>
      <c r="S244" s="17">
        <f t="shared" ca="1" si="35"/>
        <v>-0.26963692782749404</v>
      </c>
      <c r="T244" s="24">
        <f t="shared" ca="1" si="36"/>
        <v>-68.98750837128236</v>
      </c>
      <c r="U244" s="24">
        <f t="shared" ca="1" si="37"/>
        <v>-63.518105043796979</v>
      </c>
      <c r="V244" s="24">
        <f ca="1">S243*(O244-O243)*futMult</f>
        <v>63.518105043796972</v>
      </c>
      <c r="W244" s="24">
        <f ca="1">T244+V244</f>
        <v>-5.4694033274853879</v>
      </c>
      <c r="X244" s="24">
        <f ca="1">X243+T244</f>
        <v>183089.81018007128</v>
      </c>
      <c r="Y244" s="24">
        <f t="shared" ca="1" si="38"/>
        <v>-83324.335811623707</v>
      </c>
      <c r="Z244" s="24"/>
    </row>
    <row r="245" spans="6:26" x14ac:dyDescent="0.25">
      <c r="F245" s="18">
        <f>F244+1</f>
        <v>242</v>
      </c>
      <c r="G245">
        <f t="shared" si="30"/>
        <v>0.96031746031746035</v>
      </c>
      <c r="H245" s="8">
        <v>4.3682865161562296E-3</v>
      </c>
      <c r="I245" s="8">
        <f ca="1">(interestRate-dividend-0.5*sigma^2)*1/252+sigma*SQRT(1/252)*_xlfn.NORM.S.INV(RAND())</f>
        <v>1.6578743585142091E-2</v>
      </c>
      <c r="J245" s="27">
        <f t="shared" ca="1" si="32"/>
        <v>129.52588867704978</v>
      </c>
      <c r="K245" s="20">
        <f t="shared" ca="1" si="33"/>
        <v>129.52588867704978</v>
      </c>
      <c r="L245" s="20">
        <f ca="1">BlackScholes(OptType,"Price",K245,Strike,time-G245,0,sigma,interestRate,dividend)</f>
        <v>1.9547518572552718E-3</v>
      </c>
      <c r="M245" s="21">
        <f ca="1">L245*units*optMult*IF(Side="Short",-1,1)</f>
        <v>-19.547518572552718</v>
      </c>
      <c r="N245" s="6">
        <f ca="1">BlackScholes(OptType,"Delta",K245,Strike,time-G245,0,sigma,interestRate,dividend)*IF(Side="Short",-1,1)*units*optMult</f>
        <v>13.256890643315019</v>
      </c>
      <c r="O245" s="6">
        <f ca="1">K245*EXP((interestRate-dividend)*(time-G245))</f>
        <v>129.52588867704978</v>
      </c>
      <c r="P245" s="19">
        <f>EXP((interestRate-dividend)*(time-G245))*futMult</f>
        <v>250</v>
      </c>
      <c r="Q245">
        <f t="shared" ca="1" si="31"/>
        <v>-5.3027562573260079E-2</v>
      </c>
      <c r="R245" s="32">
        <f t="shared" ca="1" si="34"/>
        <v>0.21660936525423397</v>
      </c>
      <c r="S245" s="17">
        <f t="shared" ca="1" si="35"/>
        <v>-5.3027562573260079E-2</v>
      </c>
      <c r="T245" s="24">
        <f t="shared" ca="1" si="36"/>
        <v>98.693775689560312</v>
      </c>
      <c r="U245" s="24">
        <f t="shared" ca="1" si="37"/>
        <v>143.55969249629499</v>
      </c>
      <c r="V245" s="24">
        <f ca="1">S244*(O245-O244)*futMult</f>
        <v>-143.55969249629496</v>
      </c>
      <c r="W245" s="24">
        <f ca="1">T245+V245</f>
        <v>-44.865916806734646</v>
      </c>
      <c r="X245" s="24">
        <f ca="1">X244+T245</f>
        <v>183188.50395576083</v>
      </c>
      <c r="Y245" s="24">
        <f t="shared" ca="1" si="38"/>
        <v>-83467.895504119995</v>
      </c>
      <c r="Z245" s="24"/>
    </row>
    <row r="246" spans="6:26" x14ac:dyDescent="0.25">
      <c r="F246" s="18">
        <f>F245+1</f>
        <v>243</v>
      </c>
      <c r="G246">
        <f t="shared" si="30"/>
        <v>0.9642857142857143</v>
      </c>
      <c r="H246" s="8">
        <v>-1.3077596207343322E-2</v>
      </c>
      <c r="I246" s="8">
        <f ca="1">(interestRate-dividend-0.5*sigma^2)*1/252+sigma*SQRT(1/252)*_xlfn.NORM.S.INV(RAND())</f>
        <v>6.5781776489677608E-3</v>
      </c>
      <c r="J246" s="27">
        <f t="shared" ca="1" si="32"/>
        <v>130.38074158743458</v>
      </c>
      <c r="K246" s="20">
        <f t="shared" ca="1" si="33"/>
        <v>130.38074158743458</v>
      </c>
      <c r="L246" s="20">
        <f ca="1">BlackScholes(OptType,"Price",K246,Strike,time-G246,0,sigma,interestRate,dividend)</f>
        <v>5.434032621727447E-4</v>
      </c>
      <c r="M246" s="21">
        <f ca="1">L246*units*optMult*IF(Side="Short",-1,1)</f>
        <v>-5.4340326217274466</v>
      </c>
      <c r="N246" s="6">
        <f ca="1">BlackScholes(OptType,"Delta",K246,Strike,time-G246,0,sigma,interestRate,dividend)*IF(Side="Short",-1,1)*units*optMult</f>
        <v>4.1885305202532699</v>
      </c>
      <c r="O246" s="6">
        <f ca="1">K246*EXP((interestRate-dividend)*(time-G246))</f>
        <v>130.38074158743458</v>
      </c>
      <c r="P246" s="19">
        <f>EXP((interestRate-dividend)*(time-G246))*futMult</f>
        <v>250</v>
      </c>
      <c r="Q246">
        <f t="shared" ca="1" si="31"/>
        <v>-1.6754122081013078E-2</v>
      </c>
      <c r="R246" s="32">
        <f t="shared" ca="1" si="34"/>
        <v>3.6273440492246997E-2</v>
      </c>
      <c r="S246" s="17">
        <f t="shared" ca="1" si="35"/>
        <v>-1.6754122081013081E-2</v>
      </c>
      <c r="T246" s="24">
        <f t="shared" ca="1" si="36"/>
        <v>14.113485950825272</v>
      </c>
      <c r="U246" s="24">
        <f t="shared" ca="1" si="37"/>
        <v>11.332691549090958</v>
      </c>
      <c r="V246" s="24">
        <f ca="1">S245*(O246-O245)*futMult</f>
        <v>-11.33269154909096</v>
      </c>
      <c r="W246" s="24">
        <f ca="1">T246+V246</f>
        <v>2.7807944017343118</v>
      </c>
      <c r="X246" s="24">
        <f ca="1">X245+T246</f>
        <v>183202.61744171166</v>
      </c>
      <c r="Y246" s="24">
        <f t="shared" ca="1" si="38"/>
        <v>-83479.228195669086</v>
      </c>
      <c r="Z246" s="24"/>
    </row>
    <row r="247" spans="6:26" x14ac:dyDescent="0.25">
      <c r="F247" s="18">
        <f>F246+1</f>
        <v>244</v>
      </c>
      <c r="G247">
        <f t="shared" si="30"/>
        <v>0.96825396825396826</v>
      </c>
      <c r="H247" s="8">
        <v>9.5508480729218151E-3</v>
      </c>
      <c r="I247" s="8">
        <f ca="1">(interestRate-dividend-0.5*sigma^2)*1/252+sigma*SQRT(1/252)*_xlfn.NORM.S.INV(RAND())</f>
        <v>-4.7027620260242636E-3</v>
      </c>
      <c r="J247" s="27">
        <f t="shared" ca="1" si="32"/>
        <v>129.76903147788917</v>
      </c>
      <c r="K247" s="20">
        <f t="shared" ca="1" si="33"/>
        <v>129.76903147788917</v>
      </c>
      <c r="L247" s="20">
        <f ca="1">BlackScholes(OptType,"Price",K247,Strike,time-G247,0,sigma,interestRate,dividend)</f>
        <v>3.9119353309389034E-4</v>
      </c>
      <c r="M247" s="21">
        <f ca="1">L247*units*optMult*IF(Side="Short",-1,1)</f>
        <v>-3.9119353309389031</v>
      </c>
      <c r="N247" s="6">
        <f ca="1">BlackScholes(OptType,"Delta",K247,Strike,time-G247,0,sigma,interestRate,dividend)*IF(Side="Short",-1,1)*units*optMult</f>
        <v>3.2668418049393</v>
      </c>
      <c r="O247" s="6">
        <f ca="1">K247*EXP((interestRate-dividend)*(time-G247))</f>
        <v>129.76903147788917</v>
      </c>
      <c r="P247" s="19">
        <f>EXP((interestRate-dividend)*(time-G247))*futMult</f>
        <v>250</v>
      </c>
      <c r="Q247">
        <f t="shared" ca="1" si="31"/>
        <v>-1.30673672197572E-2</v>
      </c>
      <c r="R247" s="32">
        <f t="shared" ca="1" si="34"/>
        <v>3.6867548612558778E-3</v>
      </c>
      <c r="S247" s="17">
        <f t="shared" ca="1" si="35"/>
        <v>-1.3067367219757204E-2</v>
      </c>
      <c r="T247" s="24">
        <f t="shared" ca="1" si="36"/>
        <v>1.5220972907885435</v>
      </c>
      <c r="U247" s="24">
        <f t="shared" ca="1" si="37"/>
        <v>-2.5621664633784342</v>
      </c>
      <c r="V247" s="24">
        <f ca="1">S246*(O247-O246)*futMult</f>
        <v>2.5621664633784342</v>
      </c>
      <c r="W247" s="24">
        <f ca="1">T247+V247</f>
        <v>4.0842637541669777</v>
      </c>
      <c r="X247" s="24">
        <f ca="1">X246+T247</f>
        <v>183204.13953900244</v>
      </c>
      <c r="Y247" s="24">
        <f t="shared" ca="1" si="38"/>
        <v>-83476.666029205706</v>
      </c>
      <c r="Z247" s="24"/>
    </row>
    <row r="248" spans="6:26" x14ac:dyDescent="0.25">
      <c r="F248" s="18">
        <f>F247+1</f>
        <v>245</v>
      </c>
      <c r="G248">
        <f t="shared" si="30"/>
        <v>0.97222222222222221</v>
      </c>
      <c r="H248" s="8">
        <v>-7.1757515284713606E-3</v>
      </c>
      <c r="I248" s="8">
        <f ca="1">(interestRate-dividend-0.5*sigma^2)*1/252+sigma*SQRT(1/252)*_xlfn.NORM.S.INV(RAND())</f>
        <v>4.0334246132915329E-3</v>
      </c>
      <c r="J248" s="27">
        <f t="shared" ca="1" si="32"/>
        <v>130.29350207878079</v>
      </c>
      <c r="K248" s="20">
        <f t="shared" ca="1" si="33"/>
        <v>130.29350207878079</v>
      </c>
      <c r="L248" s="20">
        <f ca="1">BlackScholes(OptType,"Price",K248,Strike,time-G248,0,sigma,interestRate,dividend)</f>
        <v>8.7356348330469498E-5</v>
      </c>
      <c r="M248" s="21">
        <f ca="1">L248*units*optMult*IF(Side="Short",-1,1)</f>
        <v>-0.87356348330469502</v>
      </c>
      <c r="N248" s="6">
        <f ca="1">BlackScholes(OptType,"Delta",K248,Strike,time-G248,0,sigma,interestRate,dividend)*IF(Side="Short",-1,1)*units*optMult</f>
        <v>0.84148252850957295</v>
      </c>
      <c r="O248" s="6">
        <f ca="1">K248*EXP((interestRate-dividend)*(time-G248))</f>
        <v>130.29350207878079</v>
      </c>
      <c r="P248" s="19">
        <f>EXP((interestRate-dividend)*(time-G248))*futMult</f>
        <v>250</v>
      </c>
      <c r="Q248">
        <f t="shared" ca="1" si="31"/>
        <v>-3.3659301140382919E-3</v>
      </c>
      <c r="R248" s="32">
        <f t="shared" ca="1" si="34"/>
        <v>9.7014371057189078E-3</v>
      </c>
      <c r="S248" s="17">
        <f t="shared" ca="1" si="35"/>
        <v>-3.3659301140382958E-3</v>
      </c>
      <c r="T248" s="24">
        <f t="shared" ca="1" si="36"/>
        <v>3.0383718476342079</v>
      </c>
      <c r="U248" s="24">
        <f t="shared" ca="1" si="37"/>
        <v>1.7133624844543733</v>
      </c>
      <c r="V248" s="24">
        <f ca="1">S247*(O248-O247)*futMult</f>
        <v>-1.713362484454374</v>
      </c>
      <c r="W248" s="24">
        <f ca="1">T248+V248</f>
        <v>1.3250093631798339</v>
      </c>
      <c r="X248" s="24">
        <f ca="1">X247+T248</f>
        <v>183207.17791085006</v>
      </c>
      <c r="Y248" s="24">
        <f t="shared" ca="1" si="38"/>
        <v>-83478.379391690163</v>
      </c>
      <c r="Z248" s="24"/>
    </row>
    <row r="249" spans="6:26" x14ac:dyDescent="0.25">
      <c r="F249" s="18">
        <f>F248+1</f>
        <v>246</v>
      </c>
      <c r="G249">
        <f t="shared" si="30"/>
        <v>0.97619047619047616</v>
      </c>
      <c r="H249" s="8">
        <v>-1.8656721829497342E-3</v>
      </c>
      <c r="I249" s="8">
        <f ca="1">(interestRate-dividend-0.5*sigma^2)*1/252+sigma*SQRT(1/252)*_xlfn.NORM.S.INV(RAND())</f>
        <v>1.4227344434990553E-2</v>
      </c>
      <c r="J249" s="27">
        <f t="shared" ca="1" si="32"/>
        <v>132.16048220281434</v>
      </c>
      <c r="K249" s="20">
        <f t="shared" ca="1" si="33"/>
        <v>132.16048220281434</v>
      </c>
      <c r="L249" s="20">
        <f ca="1">BlackScholes(OptType,"Price",K249,Strike,time-G249,0,sigma,interestRate,dividend)</f>
        <v>2.5535884143846365E-6</v>
      </c>
      <c r="M249" s="21">
        <f ca="1">L249*units*optMult*IF(Side="Short",-1,1)</f>
        <v>-2.5535884143846364E-2</v>
      </c>
      <c r="N249" s="6">
        <f ca="1">BlackScholes(OptType,"Delta",K249,Strike,time-G249,0,sigma,interestRate,dividend)*IF(Side="Short",-1,1)*units*optMult</f>
        <v>3.058651605187181E-2</v>
      </c>
      <c r="O249" s="6">
        <f ca="1">K249*EXP((interestRate-dividend)*(time-G249))</f>
        <v>132.16048220281434</v>
      </c>
      <c r="P249" s="19">
        <f>EXP((interestRate-dividend)*(time-G249))*futMult</f>
        <v>250</v>
      </c>
      <c r="Q249">
        <f t="shared" ca="1" si="31"/>
        <v>-1.2234606420748724E-4</v>
      </c>
      <c r="R249" s="32">
        <f t="shared" ca="1" si="34"/>
        <v>3.2435840498308047E-3</v>
      </c>
      <c r="S249" s="17">
        <f t="shared" ca="1" si="35"/>
        <v>-1.2234606420749106E-4</v>
      </c>
      <c r="T249" s="24">
        <f t="shared" ca="1" si="36"/>
        <v>0.84802759916084869</v>
      </c>
      <c r="U249" s="24">
        <f t="shared" ca="1" si="37"/>
        <v>1.5710311554488643</v>
      </c>
      <c r="V249" s="24">
        <f ca="1">S248*(O249-O248)*futMult</f>
        <v>-1.5710311554488663</v>
      </c>
      <c r="W249" s="24">
        <f ca="1">T249+V249</f>
        <v>-0.7230035562880176</v>
      </c>
      <c r="X249" s="24">
        <f ca="1">X248+T249</f>
        <v>183208.02593844922</v>
      </c>
      <c r="Y249" s="24">
        <f t="shared" ca="1" si="38"/>
        <v>-83479.950422845606</v>
      </c>
      <c r="Z249" s="24"/>
    </row>
    <row r="250" spans="6:26" x14ac:dyDescent="0.25">
      <c r="F250" s="18">
        <f>F249+1</f>
        <v>247</v>
      </c>
      <c r="G250">
        <f t="shared" si="30"/>
        <v>0.98015873015873012</v>
      </c>
      <c r="H250" s="8">
        <v>4.1506137263132145E-3</v>
      </c>
      <c r="I250" s="8">
        <f ca="1">(interestRate-dividend-0.5*sigma^2)*1/252+sigma*SQRT(1/252)*_xlfn.NORM.S.INV(RAND())</f>
        <v>2.3379853584974452E-3</v>
      </c>
      <c r="J250" s="27">
        <f t="shared" ca="1" si="32"/>
        <v>132.46983296303671</v>
      </c>
      <c r="K250" s="20">
        <f t="shared" ca="1" si="33"/>
        <v>132.46983296303671</v>
      </c>
      <c r="L250" s="20">
        <f ca="1">BlackScholes(OptType,"Price",K250,Strike,time-G250,0,sigma,interestRate,dividend)</f>
        <v>1.6693309595574352E-7</v>
      </c>
      <c r="M250" s="21">
        <f ca="1">L250*units*optMult*IF(Side="Short",-1,1)</f>
        <v>-1.6693309595574349E-3</v>
      </c>
      <c r="N250" s="6">
        <f ca="1">BlackScholes(OptType,"Delta",K250,Strike,time-G250,0,sigma,interestRate,dividend)*IF(Side="Short",-1,1)*units*optMult</f>
        <v>2.4005219291534526E-3</v>
      </c>
      <c r="O250" s="6">
        <f ca="1">K250*EXP((interestRate-dividend)*(time-G250))</f>
        <v>132.46983296303671</v>
      </c>
      <c r="P250" s="19">
        <f>EXP((interestRate-dividend)*(time-G250))*futMult</f>
        <v>250</v>
      </c>
      <c r="Q250">
        <f t="shared" ca="1" si="31"/>
        <v>-9.6020877166138107E-6</v>
      </c>
      <c r="R250" s="32">
        <f t="shared" ca="1" si="34"/>
        <v>1.1274397649087343E-4</v>
      </c>
      <c r="S250" s="17">
        <f t="shared" ca="1" si="35"/>
        <v>-9.6020877166176275E-6</v>
      </c>
      <c r="T250" s="24">
        <f t="shared" ca="1" si="36"/>
        <v>2.386655318428893E-2</v>
      </c>
      <c r="U250" s="24">
        <f t="shared" ca="1" si="37"/>
        <v>9.4619619932003411E-3</v>
      </c>
      <c r="V250" s="24">
        <f ca="1">S249*(O250-O249)*futMult</f>
        <v>-9.461961993200636E-3</v>
      </c>
      <c r="W250" s="24">
        <f ca="1">T250+V250</f>
        <v>1.4404591191088294E-2</v>
      </c>
      <c r="X250" s="24">
        <f ca="1">X249+T250</f>
        <v>183208.0498050024</v>
      </c>
      <c r="Y250" s="24">
        <f t="shared" ca="1" si="38"/>
        <v>-83479.959884807598</v>
      </c>
      <c r="Z250" s="24"/>
    </row>
    <row r="251" spans="6:26" x14ac:dyDescent="0.25">
      <c r="F251" s="18">
        <f>F250+1</f>
        <v>248</v>
      </c>
      <c r="G251">
        <f t="shared" si="30"/>
        <v>0.98412698412698407</v>
      </c>
      <c r="H251" s="8">
        <v>-8.1480674866271745E-3</v>
      </c>
      <c r="I251" s="8">
        <f ca="1">(interestRate-dividend-0.5*sigma^2)*1/252+sigma*SQRT(1/252)*_xlfn.NORM.S.INV(RAND())</f>
        <v>2.686035358185096E-3</v>
      </c>
      <c r="J251" s="27">
        <f t="shared" ca="1" si="32"/>
        <v>132.82612991715953</v>
      </c>
      <c r="K251" s="20">
        <f t="shared" ca="1" si="33"/>
        <v>132.82612991715953</v>
      </c>
      <c r="L251" s="20">
        <f ca="1">BlackScholes(OptType,"Price",K251,Strike,time-G251,0,sigma,interestRate,dividend)</f>
        <v>2.758911698067118E-9</v>
      </c>
      <c r="M251" s="21">
        <f ca="1">L251*units*optMult*IF(Side="Short",-1,1)</f>
        <v>-2.7589116980671182E-5</v>
      </c>
      <c r="N251" s="6">
        <f ca="1">BlackScholes(OptType,"Delta",K251,Strike,time-G251,0,sigma,interestRate,dividend)*IF(Side="Short",-1,1)*units*optMult</f>
        <v>4.9702335969731649E-5</v>
      </c>
      <c r="O251" s="6">
        <f ca="1">K251*EXP((interestRate-dividend)*(time-G251))</f>
        <v>132.82612991715953</v>
      </c>
      <c r="P251" s="19">
        <f>EXP((interestRate-dividend)*(time-G251))*futMult</f>
        <v>250</v>
      </c>
      <c r="Q251">
        <f t="shared" ca="1" si="31"/>
        <v>-1.9880934387892659E-7</v>
      </c>
      <c r="R251" s="32">
        <f t="shared" ca="1" si="34"/>
        <v>9.4032783727348834E-6</v>
      </c>
      <c r="S251" s="17">
        <f t="shared" ca="1" si="35"/>
        <v>-1.9880934388274409E-7</v>
      </c>
      <c r="T251" s="24">
        <f t="shared" ca="1" si="36"/>
        <v>1.6417418425767637E-3</v>
      </c>
      <c r="U251" s="24">
        <f t="shared" ca="1" si="37"/>
        <v>8.5529865166242443E-4</v>
      </c>
      <c r="V251" s="24">
        <f ca="1">S250*(O251-O250)*futMult</f>
        <v>-8.5529865166276454E-4</v>
      </c>
      <c r="W251" s="24">
        <f ca="1">T251+V251</f>
        <v>7.8644319091399919E-4</v>
      </c>
      <c r="X251" s="24">
        <f ca="1">X250+T251</f>
        <v>183208.05144674424</v>
      </c>
      <c r="Y251" s="24">
        <f t="shared" ca="1" si="38"/>
        <v>-83479.960740106253</v>
      </c>
      <c r="Z251" s="24"/>
    </row>
    <row r="252" spans="6:26" x14ac:dyDescent="0.25">
      <c r="F252" s="18">
        <f>F251+1</f>
        <v>249</v>
      </c>
      <c r="G252">
        <f t="shared" si="30"/>
        <v>0.98809523809523814</v>
      </c>
      <c r="H252" s="8">
        <v>-9.0746278070386668E-3</v>
      </c>
      <c r="I252" s="8">
        <f ca="1">(interestRate-dividend-0.5*sigma^2)*1/252+sigma*SQRT(1/252)*_xlfn.NORM.S.INV(RAND())</f>
        <v>-1.4920501743420004E-2</v>
      </c>
      <c r="J252" s="27">
        <f t="shared" ca="1" si="32"/>
        <v>130.8590091222427</v>
      </c>
      <c r="K252" s="20">
        <f t="shared" ca="1" si="33"/>
        <v>130.8590091222427</v>
      </c>
      <c r="L252" s="20">
        <f ca="1">BlackScholes(OptType,"Price",K252,Strike,time-G252,0,sigma,interestRate,dividend)</f>
        <v>6.9058425717094342E-10</v>
      </c>
      <c r="M252" s="21">
        <f ca="1">L252*units*optMult*IF(Side="Short",-1,1)</f>
        <v>-6.9058425717094337E-6</v>
      </c>
      <c r="N252" s="6">
        <f ca="1">BlackScholes(OptType,"Delta",K252,Strike,time-G252,0,sigma,interestRate,dividend)*IF(Side="Short",-1,1)*units*optMult</f>
        <v>1.5048821742455108E-5</v>
      </c>
      <c r="O252" s="6">
        <f ca="1">K252*EXP((interestRate-dividend)*(time-G252))</f>
        <v>130.8590091222427</v>
      </c>
      <c r="P252" s="19">
        <f>EXP((interestRate-dividend)*(time-G252))*futMult</f>
        <v>250</v>
      </c>
      <c r="Q252">
        <f t="shared" ca="1" si="31"/>
        <v>-6.0195286969820427E-8</v>
      </c>
      <c r="R252" s="32">
        <f t="shared" ca="1" si="34"/>
        <v>1.3861405690910616E-7</v>
      </c>
      <c r="S252" s="17">
        <f t="shared" ca="1" si="35"/>
        <v>-6.0195286973637925E-8</v>
      </c>
      <c r="T252" s="24">
        <f t="shared" ca="1" si="36"/>
        <v>2.0683274408961748E-5</v>
      </c>
      <c r="U252" s="24">
        <f t="shared" ca="1" si="37"/>
        <v>-9.7770498642002249E-5</v>
      </c>
      <c r="V252" s="24">
        <f ca="1">S251*(O252-O251)*futMult</f>
        <v>9.7770498643879626E-5</v>
      </c>
      <c r="W252" s="24">
        <f ca="1">T252+V252</f>
        <v>1.1845377305284137E-4</v>
      </c>
      <c r="X252" s="24">
        <f ca="1">X251+T252</f>
        <v>183208.05146742752</v>
      </c>
      <c r="Y252" s="24">
        <f t="shared" ca="1" si="38"/>
        <v>-83479.960642335747</v>
      </c>
      <c r="Z252" s="24"/>
    </row>
    <row r="253" spans="6:26" x14ac:dyDescent="0.25">
      <c r="F253" s="18">
        <f>F252+1</f>
        <v>250</v>
      </c>
      <c r="G253">
        <f t="shared" si="30"/>
        <v>0.99206349206349209</v>
      </c>
      <c r="H253" s="8">
        <v>-9.3313274288843052E-3</v>
      </c>
      <c r="I253" s="8">
        <f ca="1">(interestRate-dividend-0.5*sigma^2)*1/252+sigma*SQRT(1/252)*_xlfn.NORM.S.INV(RAND())</f>
        <v>-9.2109725584995621E-3</v>
      </c>
      <c r="J253" s="27">
        <f t="shared" ca="1" si="32"/>
        <v>129.6592045465045</v>
      </c>
      <c r="K253" s="20">
        <f t="shared" ca="1" si="33"/>
        <v>129.6592045465045</v>
      </c>
      <c r="L253" s="20">
        <f ca="1">BlackScholes(OptType,"Price",K253,Strike,time-G253,0,sigma,interestRate,dividend)</f>
        <v>2.5651279464136672E-12</v>
      </c>
      <c r="M253" s="21">
        <f ca="1">L253*units*optMult*IF(Side="Short",-1,1)</f>
        <v>-2.5651279464136672E-8</v>
      </c>
      <c r="N253" s="6">
        <f ca="1">BlackScholes(OptType,"Delta",K253,Strike,time-G253,0,sigma,interestRate,dividend)*IF(Side="Short",-1,1)*units*optMult</f>
        <v>7.7776624566147592E-8</v>
      </c>
      <c r="O253" s="6">
        <f ca="1">K253*EXP((interestRate-dividend)*(time-G253))</f>
        <v>129.6592045465045</v>
      </c>
      <c r="P253" s="19">
        <f>EXP((interestRate-dividend)*(time-G253))*futMult</f>
        <v>250</v>
      </c>
      <c r="Q253">
        <f t="shared" ca="1" si="31"/>
        <v>-3.1110649826459037E-10</v>
      </c>
      <c r="R253" s="32">
        <f t="shared" ca="1" si="34"/>
        <v>5.9884180471555841E-8</v>
      </c>
      <c r="S253" s="17">
        <f t="shared" ca="1" si="35"/>
        <v>-3.1110650208208422E-10</v>
      </c>
      <c r="T253" s="24">
        <f t="shared" ca="1" si="36"/>
        <v>6.8801912922452973E-6</v>
      </c>
      <c r="U253" s="24">
        <f t="shared" ca="1" si="37"/>
        <v>-1.8055645186066132E-5</v>
      </c>
      <c r="V253" s="24">
        <f ca="1">S252*(O253-O252)*futMult</f>
        <v>1.8055645187211195E-5</v>
      </c>
      <c r="W253" s="24">
        <f ca="1">T253+V253</f>
        <v>2.4935836479456492E-5</v>
      </c>
      <c r="X253" s="24">
        <f ca="1">X252+T253</f>
        <v>183208.05147430772</v>
      </c>
      <c r="Y253" s="24">
        <f t="shared" ca="1" si="38"/>
        <v>-83479.960624280109</v>
      </c>
      <c r="Z253" s="24"/>
    </row>
    <row r="254" spans="6:26" x14ac:dyDescent="0.25">
      <c r="F254" s="18">
        <f>F253+1</f>
        <v>251</v>
      </c>
      <c r="G254">
        <f t="shared" si="30"/>
        <v>0.99603174603174605</v>
      </c>
      <c r="H254" s="8">
        <v>-5.0000000000000001E-3</v>
      </c>
      <c r="I254" s="8">
        <f ca="1">(interestRate-dividend-0.5*sigma^2)*1/252+sigma*SQRT(1/252)*_xlfn.NORM.S.INV(RAND())</f>
        <v>-4.980993482722451E-3</v>
      </c>
      <c r="J254" s="27">
        <f t="shared" ca="1" si="32"/>
        <v>129.01497866808663</v>
      </c>
      <c r="K254" s="20">
        <f t="shared" ca="1" si="33"/>
        <v>129.01497866808663</v>
      </c>
      <c r="L254" s="20">
        <f ca="1">BlackScholes(OptType,"Price",K254,Strike,time-G254,0,sigma,interestRate,dividend)</f>
        <v>5.7562002689548207E-21</v>
      </c>
      <c r="M254" s="21">
        <f ca="1">L254*units*optMult*IF(Side="Short",-1,1)</f>
        <v>-5.7562002689548203E-17</v>
      </c>
      <c r="N254" s="6">
        <f ca="1">BlackScholes(OptType,"Delta",K254,Strike,time-G254,0,sigma,interestRate,dividend)*IF(Side="Short",-1,1)*units*optMult</f>
        <v>3.3051476139327814E-16</v>
      </c>
      <c r="O254" s="6">
        <f ca="1">K254*EXP((interestRate-dividend)*(time-G254))</f>
        <v>129.01497866808663</v>
      </c>
      <c r="P254" s="19">
        <f>EXP((interestRate-dividend)*(time-G254))*futMult</f>
        <v>250</v>
      </c>
      <c r="Q254">
        <f t="shared" ca="1" si="31"/>
        <v>-1.3220590455731126E-18</v>
      </c>
      <c r="R254" s="32">
        <f t="shared" ca="1" si="34"/>
        <v>3.1110649694253133E-10</v>
      </c>
      <c r="S254" s="17">
        <f t="shared" ca="1" si="35"/>
        <v>-5.1395528879353687E-18</v>
      </c>
      <c r="T254" s="24">
        <f t="shared" ca="1" si="36"/>
        <v>2.5651279406574669E-8</v>
      </c>
      <c r="U254" s="24">
        <f t="shared" ca="1" si="37"/>
        <v>-5.010571428150336E-8</v>
      </c>
      <c r="V254" s="24">
        <f ca="1">S253*(O254-O253)*futMult</f>
        <v>5.010571489633544E-8</v>
      </c>
      <c r="W254" s="24">
        <f ca="1">T254+V254</f>
        <v>7.5756994302910112E-8</v>
      </c>
      <c r="X254" s="24">
        <f ca="1">X253+T254</f>
        <v>183208.05147433336</v>
      </c>
      <c r="Y254" s="24">
        <f t="shared" ca="1" si="38"/>
        <v>-83479.960624230007</v>
      </c>
      <c r="Z254" s="24"/>
    </row>
    <row r="255" spans="6:26" x14ac:dyDescent="0.25">
      <c r="F255" s="18">
        <f t="shared" ref="F255" si="39">F254+1</f>
        <v>252</v>
      </c>
      <c r="G255">
        <f t="shared" si="30"/>
        <v>1</v>
      </c>
      <c r="H255" s="8">
        <v>-2E-3</v>
      </c>
      <c r="I255" s="8">
        <f ca="1">(interestRate-dividend-0.5*sigma^2)*1/252+sigma*SQRT(1/252)*_xlfn.NORM.S.INV(RAND())</f>
        <v>-5.6254901377566988E-3</v>
      </c>
      <c r="J255" s="27">
        <f t="shared" ca="1" si="32"/>
        <v>128.29124376835375</v>
      </c>
      <c r="K255" s="20">
        <f t="shared" ca="1" si="33"/>
        <v>128.29124376835375</v>
      </c>
      <c r="L255" s="20">
        <f ca="1">MAX(Strike-K255,0)</f>
        <v>0</v>
      </c>
      <c r="M255" s="21">
        <f ca="1">L255*units*optMult*IF(Side="Short",-1,1)</f>
        <v>0</v>
      </c>
      <c r="N255" s="6">
        <f ca="1">IF(Strike&gt;K255,1,0)*units*optMult</f>
        <v>0</v>
      </c>
      <c r="O255" s="6">
        <f ca="1">K255*EXP((interestRate-dividend)*(time-G255))</f>
        <v>128.29124376835375</v>
      </c>
      <c r="P255" s="19">
        <f>EXP((interestRate-dividend)*(time-G255))*futMult</f>
        <v>250</v>
      </c>
      <c r="Q255">
        <f t="shared" ca="1" si="31"/>
        <v>0</v>
      </c>
      <c r="R255" s="32">
        <f t="shared" ca="1" si="34"/>
        <v>1.3220590455731126E-18</v>
      </c>
      <c r="S255" s="17">
        <f t="shared" ca="1" si="35"/>
        <v>-3.8174938423622563E-18</v>
      </c>
      <c r="T255" s="24">
        <f t="shared" ca="1" si="36"/>
        <v>5.7562002689548203E-17</v>
      </c>
      <c r="U255" s="24">
        <f t="shared" ca="1" si="37"/>
        <v>-2.3920506769719935E-16</v>
      </c>
      <c r="V255" s="24">
        <f ca="1">S254*(O255-O254)*futMult</f>
        <v>9.2991844850542829E-16</v>
      </c>
      <c r="W255" s="24">
        <f ca="1">T255+V255</f>
        <v>9.874804511949765E-16</v>
      </c>
      <c r="X255" s="24">
        <f ca="1">X254+T255</f>
        <v>183208.05147433336</v>
      </c>
      <c r="Y255" s="24">
        <f t="shared" ca="1" si="38"/>
        <v>-83479.960624230007</v>
      </c>
      <c r="Z255" s="24"/>
    </row>
  </sheetData>
  <mergeCells count="3">
    <mergeCell ref="B2:C2"/>
    <mergeCell ref="B17:C17"/>
    <mergeCell ref="B24:C24"/>
  </mergeCells>
  <dataValidations count="3">
    <dataValidation type="list" allowBlank="1" showInputMessage="1" showErrorMessage="1" sqref="C3">
      <formula1>"Put, Call"</formula1>
    </dataValidation>
    <dataValidation type="list" allowBlank="1" showInputMessage="1" showErrorMessage="1" sqref="C4">
      <formula1>"Long,Short"</formula1>
    </dataValidation>
    <dataValidation type="list" allowBlank="1" showInputMessage="1" showErrorMessage="1" sqref="C25">
      <formula1>"Actual,BM Theoretical"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40" sqref="B4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Delta Hedging</vt:lpstr>
      <vt:lpstr>Sheet3</vt:lpstr>
      <vt:lpstr>cost</vt:lpstr>
      <vt:lpstr>dividend</vt:lpstr>
      <vt:lpstr>futDelta</vt:lpstr>
      <vt:lpstr>futMult</vt:lpstr>
      <vt:lpstr>interestRate</vt:lpstr>
      <vt:lpstr>margin</vt:lpstr>
      <vt:lpstr>moneyness</vt:lpstr>
      <vt:lpstr>optMult</vt:lpstr>
      <vt:lpstr>OptType</vt:lpstr>
      <vt:lpstr>Side</vt:lpstr>
      <vt:lpstr>sigma</vt:lpstr>
      <vt:lpstr>Strike</vt:lpstr>
      <vt:lpstr>time</vt:lpstr>
      <vt:lpstr>units</vt:lpstr>
    </vt:vector>
  </TitlesOfParts>
  <Company>American International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Mei</dc:creator>
  <cp:lastModifiedBy>Li, Mei</cp:lastModifiedBy>
  <dcterms:created xsi:type="dcterms:W3CDTF">2015-12-10T00:12:10Z</dcterms:created>
  <dcterms:modified xsi:type="dcterms:W3CDTF">2015-12-10T04:47:21Z</dcterms:modified>
</cp:coreProperties>
</file>